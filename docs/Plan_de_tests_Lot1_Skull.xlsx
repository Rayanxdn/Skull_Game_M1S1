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Plan de tests Lot 1" sheetId="2" state="visible" r:id="rId4"/>
    <sheet name="Synthèse" sheetId="3" state="visible" r:id="rId5"/>
    <sheet name="Anomalies" sheetId="4" state="visible" r:id="rId6"/>
  </sheets>
  <definedNames>
    <definedName function="false" hidden="true" localSheetId="1" name="_xlnm._FilterDatabase" vbProcedure="false">'Plan de tests Lot 1'!$A$3:$L$38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<sst xmlns="http://schemas.openxmlformats.org/spreadsheetml/2006/main" count="289" uniqueCount="198">
  <si>
    <t xml:space="preserve">Comment utiliser ce fichier</t>
  </si>
  <si>
    <t xml:space="preserve">1. Onglet « Plan de tests Lot 1 » : les colonnes jaunes sont à remplir (résultat obtenu, code HTTP obtenu, statut, testeur, date, remarques).</t>
  </si>
  <si>
    <t xml:space="preserve">2. Colonne Statut : choisir dans la liste → À faire / OK / KO / Bloqué. OK = obtenu identique à attendu.</t>
  </si>
  <si>
    <t xml:space="preserve">3. Si un test est KO : le décrire dans l'onglet « Anomalies » et ouvrir une issue GitHub (mettre le lien).</t>
  </si>
  <si>
    <t xml:space="preserve">4. L'onglet « Synthèse » se calcule tout seul, ne rien écrire dedans.</t>
  </si>
  <si>
    <t xml:space="preserve">Hypothèses à vérifier</t>
  </si>
  <si>
    <t xml:space="preserve">Les chemins viennent du vrai code (AuthController et PlayerController, branche develop du 15/10). Les endpoints du Membre 5 et la sécurité de Rayane ne sont pas encore tous visibles : à revérifier après chaque merge.</t>
  </si>
  <si>
    <t xml:space="preserve">Codes attendus : 401 et 403 pour la connexion sont confirmés dans le code. Les autres sont les usages REST classiques ; les lignes marquées ⚠ en remarques sont des points suspects à tester en priorité.</t>
  </si>
  <si>
    <t xml:space="preserve">Si un test ne peut pas être fait car une fonctionnalité n'est pas encore mergée, mettre le statut « Bloqué » et noter pourquoi.</t>
  </si>
  <si>
    <t xml:space="preserve">Exemple de ligne remplie (ligne T02)</t>
  </si>
  <si>
    <t xml:space="preserve">Résultat obtenu : « message : email déjà utilisé » | Code obtenu : 409 | Statut : OK | Testeur : (ton prénom) | Date : 20/10/2026</t>
  </si>
  <si>
    <t xml:space="preserve">Codes à retenir : 401 = non connecté · 403 = connecté mais pas le droit · 409 = conflit (email déjà pris) · 400 = données invalides · 404 = introuvable</t>
  </si>
  <si>
    <t xml:space="preserve">Plan de tests – Lot 1 – Projet Skull M1S1</t>
  </si>
  <si>
    <t xml:space="preserve">ID</t>
  </si>
  <si>
    <t xml:space="preserve">Domaine</t>
  </si>
  <si>
    <t xml:space="preserve">Scénario (ce que je fais)</t>
  </si>
  <si>
    <t xml:space="preserve">Requête (à adapter)</t>
  </si>
  <si>
    <t xml:space="preserve">Résultat attendu</t>
  </si>
  <si>
    <t xml:space="preserve">Code HTTP attendu</t>
  </si>
  <si>
    <t xml:space="preserve">Résultat obtenu</t>
  </si>
  <si>
    <t xml:space="preserve">Code HTTP obtenu</t>
  </si>
  <si>
    <t xml:space="preserve">Statut</t>
  </si>
  <si>
    <t xml:space="preserve">Testeur</t>
  </si>
  <si>
    <t xml:space="preserve">Date</t>
  </si>
  <si>
    <t xml:space="preserve">Remarques / n° issue</t>
  </si>
  <si>
    <t xml:space="preserve">T01</t>
  </si>
  <si>
    <t xml:space="preserve">Inscription</t>
  </si>
  <si>
    <t xml:space="preserve">Inscription avec email et mot de passe valides</t>
  </si>
  <si>
    <t xml:space="preserve">POST /api/v1/players/register {email, password}</t>
  </si>
  <si>
    <t xml:space="preserve">Compte créé ; le mot de passe n'apparaît pas dans la réponse</t>
  </si>
  <si>
    <t xml:space="preserve">À faire</t>
  </si>
  <si>
    <t xml:space="preserve">T02</t>
  </si>
  <si>
    <t xml:space="preserve">Inscription avec un email déjà utilisé</t>
  </si>
  <si>
    <t xml:space="preserve">POST /api/v1/players/register (même email)</t>
  </si>
  <si>
    <t xml:space="preserve">Message « email déjà utilisé »</t>
  </si>
  <si>
    <t xml:space="preserve">Rayane a demandé ce 409 en relecture le 14/10</t>
  </si>
  <si>
    <t xml:space="preserve">T03</t>
  </si>
  <si>
    <t xml:space="preserve">Inscription avec un email invalide (ex : abc)</t>
  </si>
  <si>
    <t xml:space="preserve">POST /api/v1/players/register {email:'abc'}</t>
  </si>
  <si>
    <t xml:space="preserve">Erreur de validation</t>
  </si>
  <si>
    <t xml:space="preserve">T04</t>
  </si>
  <si>
    <t xml:space="preserve">Inscription sans mot de passe</t>
  </si>
  <si>
    <t xml:space="preserve">POST /api/v1/players/register {email}</t>
  </si>
  <si>
    <t xml:space="preserve">T05</t>
  </si>
  <si>
    <t xml:space="preserve">Inscription avec corps vide</t>
  </si>
  <si>
    <t xml:space="preserve">POST /api/v1/players/register {}</t>
  </si>
  <si>
    <t xml:space="preserve">T06</t>
  </si>
  <si>
    <t xml:space="preserve">Connexion</t>
  </si>
  <si>
    <t xml:space="preserve">Connexion avec identifiants corrects</t>
  </si>
  <si>
    <t xml:space="preserve">POST /api/v1/auth/login {email, password}</t>
  </si>
  <si>
    <t xml:space="preserve">Un token JWT est renvoyé</t>
  </si>
  <si>
    <t xml:space="preserve">Garder le token pour les tests suivants</t>
  </si>
  <si>
    <t xml:space="preserve">T07</t>
  </si>
  <si>
    <t xml:space="preserve">Connexion avec mauvais mot de passe</t>
  </si>
  <si>
    <t xml:space="preserve">POST /api/v1/auth/login (mauvais mdp)</t>
  </si>
  <si>
    <t xml:space="preserve">« Email ou mot de passe incorrect », pas de token</t>
  </si>
  <si>
    <t xml:space="preserve">Code confirmé dans AuthController</t>
  </si>
  <si>
    <t xml:space="preserve">T08</t>
  </si>
  <si>
    <t xml:space="preserve">Connexion avec un email inconnu</t>
  </si>
  <si>
    <t xml:space="preserve">POST /api/v1/auth/login (email inexistant)</t>
  </si>
  <si>
    <t xml:space="preserve">T09</t>
  </si>
  <si>
    <t xml:space="preserve">Connexion avec corps vide</t>
  </si>
  <si>
    <t xml:space="preserve">POST /api/v1/auth/login {}</t>
  </si>
  <si>
    <t xml:space="preserve">T10</t>
  </si>
  <si>
    <t xml:space="preserve">Sécurité JWT</t>
  </si>
  <si>
    <t xml:space="preserve">Lire un compte sans token</t>
  </si>
  <si>
    <t xml:space="preserve">GET /api/v1/players/{id} (sans en-tête Authorization)</t>
  </si>
  <si>
    <t xml:space="preserve">Accès refusé</t>
  </si>
  <si>
    <t xml:space="preserve">T11</t>
  </si>
  <si>
    <t xml:space="preserve">Lire un compte avec un token invalide</t>
  </si>
  <si>
    <t xml:space="preserve">GET /api/v1/players/{id} (Bearer abc123)</t>
  </si>
  <si>
    <t xml:space="preserve">T12</t>
  </si>
  <si>
    <t xml:space="preserve">Lire son propre compte avec un token valide</t>
  </si>
  <si>
    <t xml:space="preserve">GET /api/v1/players/{id} (Bearer &lt;token&gt;, son id)</t>
  </si>
  <si>
    <t xml:space="preserve">Infos du joueur, sans mot de passe</t>
  </si>
  <si>
    <t xml:space="preserve">T13</t>
  </si>
  <si>
    <t xml:space="preserve">Lire un compte avec un token expiré</t>
  </si>
  <si>
    <t xml:space="preserve">GET /api/v1/players/{id} (token expiré)</t>
  </si>
  <si>
    <t xml:space="preserve">Demander la durée de vie du token à Rayane</t>
  </si>
  <si>
    <t xml:space="preserve">T14</t>
  </si>
  <si>
    <t xml:space="preserve">Lister tous les joueurs sans token</t>
  </si>
  <si>
    <t xml:space="preserve">GET /api/v1/players</t>
  </si>
  <si>
    <t xml:space="preserve">⚠ Pas de @PreAuthorize sur cet endpoint dans le code : si 200, c'est une anomalie</t>
  </si>
  <si>
    <t xml:space="preserve">T15</t>
  </si>
  <si>
    <t xml:space="preserve">Permissions</t>
  </si>
  <si>
    <t xml:space="preserve">Un joueur lit le compte d'un autre joueur</t>
  </si>
  <si>
    <t xml:space="preserve">GET /api/v1/players/{id autre} (token joueur)</t>
  </si>
  <si>
    <t xml:space="preserve">Accès interdit</t>
  </si>
  <si>
    <t xml:space="preserve">Protégé par @PreAuthorize (admin ou propriétaire)</t>
  </si>
  <si>
    <t xml:space="preserve">T16</t>
  </si>
  <si>
    <t xml:space="preserve">Un joueur modifie le compte d'un autre joueur</t>
  </si>
  <si>
    <t xml:space="preserve">PUT /api/v1/players/{id autre} (token joueur)</t>
  </si>
  <si>
    <t xml:space="preserve">T17</t>
  </si>
  <si>
    <t xml:space="preserve">Un joueur supprime le compte d'un autre joueur</t>
  </si>
  <si>
    <t xml:space="preserve">DELETE /api/v1/players/{id autre} (token joueur)</t>
  </si>
  <si>
    <t xml:space="preserve">T18</t>
  </si>
  <si>
    <t xml:space="preserve">Un joueur modifie son propre compte</t>
  </si>
  <si>
    <t xml:space="preserve">PUT /api/v1/players/{son id} (token joueur)</t>
  </si>
  <si>
    <t xml:space="preserve">Compte mis à jour</t>
  </si>
  <si>
    <t xml:space="preserve">T19</t>
  </si>
  <si>
    <t xml:space="preserve">Modifier son email vers un email déjà pris</t>
  </si>
  <si>
    <t xml:space="preserve">PUT /api/v1/players/{son id} {email d'un autre}</t>
  </si>
  <si>
    <t xml:space="preserve">Message propre « email déjà utilisé »</t>
  </si>
  <si>
    <t xml:space="preserve">Pas d'erreur SQL brute (point relevé par Rayane)</t>
  </si>
  <si>
    <t xml:space="preserve">T20</t>
  </si>
  <si>
    <t xml:space="preserve">Un joueur normal liste tous les joueurs</t>
  </si>
  <si>
    <t xml:space="preserve">GET /api/v1/players (token joueur)</t>
  </si>
  <si>
    <t xml:space="preserve">Accès interdit (réservé à l'admin)</t>
  </si>
  <si>
    <t xml:space="preserve">⚠ Pas de @PreAuthorize dans le code : à confirmer avec Rayane et Membre 5</t>
  </si>
  <si>
    <t xml:space="preserve">T21</t>
  </si>
  <si>
    <t xml:space="preserve">L'admin lit le compte d'un autre joueur</t>
  </si>
  <si>
    <t xml:space="preserve">GET /api/v1/players/{id} (token admin)</t>
  </si>
  <si>
    <t xml:space="preserve">Infos du joueur</t>
  </si>
  <si>
    <t xml:space="preserve">T22</t>
  </si>
  <si>
    <t xml:space="preserve">Un joueur supprime son propre compte</t>
  </si>
  <si>
    <t xml:space="preserve">DELETE /api/v1/players/{son id} (token joueur)</t>
  </si>
  <si>
    <t xml:space="preserve">Compte supprimé</t>
  </si>
  <si>
    <t xml:space="preserve">T23</t>
  </si>
  <si>
    <t xml:space="preserve">Supprimer un joueur inexistant</t>
  </si>
  <si>
    <t xml:space="preserve">DELETE /api/v1/players/99999 (token admin)</t>
  </si>
  <si>
    <t xml:space="preserve">« Joueur non trouvé »</t>
  </si>
  <si>
    <t xml:space="preserve">T24</t>
  </si>
  <si>
    <t xml:space="preserve">Admin</t>
  </si>
  <si>
    <t xml:space="preserve">Le compte admin existe au premier démarrage</t>
  </si>
  <si>
    <t xml:space="preserve">POST /api/v1/auth/login (compte admin)</t>
  </si>
  <si>
    <t xml:space="preserve">Connexion admin réussie</t>
  </si>
  <si>
    <t xml:space="preserve">Demander les identifiants admin à Rayane (Membre 3)</t>
  </si>
  <si>
    <t xml:space="preserve">T25</t>
  </si>
  <si>
    <t xml:space="preserve">L'admin liste les joueurs</t>
  </si>
  <si>
    <t xml:space="preserve">GET /api/v1/players (token admin)</t>
  </si>
  <si>
    <t xml:space="preserve">Liste des joueurs</t>
  </si>
  <si>
    <t xml:space="preserve">T26</t>
  </si>
  <si>
    <t xml:space="preserve">Bannissement</t>
  </si>
  <si>
    <t xml:space="preserve">L'admin bannit un joueur</t>
  </si>
  <si>
    <t xml:space="preserve">PUT /api/v1/players/{id}/ban?banned=true (token admin)</t>
  </si>
  <si>
    <t xml:space="preserve">Joueur marqué comme banni</t>
  </si>
  <si>
    <t xml:space="preserve">Un seul endpoint pour bannir et débannir (paramètre banned)</t>
  </si>
  <si>
    <t xml:space="preserve">T27</t>
  </si>
  <si>
    <t xml:space="preserve">Un joueur normal tente de bannir quelqu'un</t>
  </si>
  <si>
    <t xml:space="preserve">PUT /api/v1/players/{id}/ban?banned=true (token joueur)</t>
  </si>
  <si>
    <t xml:space="preserve">⚠ Pas de @PreAuthorize dans le code malgré le commentaire « admin uniquement » : test prioritaire</t>
  </si>
  <si>
    <t xml:space="preserve">T28</t>
  </si>
  <si>
    <t xml:space="preserve">Bannir sans être connecté</t>
  </si>
  <si>
    <t xml:space="preserve">PUT /api/v1/players/{id}/ban?banned=true (sans token)</t>
  </si>
  <si>
    <t xml:space="preserve">⚠ Test prioritaire (même raison)</t>
  </si>
  <si>
    <t xml:space="preserve">T29</t>
  </si>
  <si>
    <t xml:space="preserve">Un joueur banni tente de se connecter</t>
  </si>
  <si>
    <t xml:space="preserve">POST /api/v1/auth/login (compte banni)</t>
  </si>
  <si>
    <t xml:space="preserve">« Ce compte a été banni »</t>
  </si>
  <si>
    <t xml:space="preserve">T30</t>
  </si>
  <si>
    <t xml:space="preserve">Un joueur banni réutilise un ancien token</t>
  </si>
  <si>
    <t xml:space="preserve">GET /api/v1/players/{son id} (token d'avant le ban)</t>
  </si>
  <si>
    <t xml:space="preserve">Comportement non visible dans le code : à confirmer avec Rayane / Membre 5</t>
  </si>
  <si>
    <t xml:space="preserve">T31</t>
  </si>
  <si>
    <t xml:space="preserve">L'admin débannit un joueur</t>
  </si>
  <si>
    <t xml:space="preserve">PUT /api/v1/players/{id}/ban?banned=false (token admin)</t>
  </si>
  <si>
    <t xml:space="preserve">Joueur de nouveau actif</t>
  </si>
  <si>
    <t xml:space="preserve">T32</t>
  </si>
  <si>
    <t xml:space="preserve">Le joueur débanni peut se reconnecter</t>
  </si>
  <si>
    <t xml:space="preserve">POST /api/v1/auth/login (compte débanni)</t>
  </si>
  <si>
    <t xml:space="preserve">Connexion réussie</t>
  </si>
  <si>
    <t xml:space="preserve">T33</t>
  </si>
  <si>
    <t xml:space="preserve">Bannir un joueur inexistant</t>
  </si>
  <si>
    <t xml:space="preserve">PUT /api/v1/players/99999/ban?banned=true (token admin)</t>
  </si>
  <si>
    <t xml:space="preserve">Erreur « joueur introuvable »</t>
  </si>
  <si>
    <t xml:space="preserve">T34</t>
  </si>
  <si>
    <t xml:space="preserve">Infra</t>
  </si>
  <si>
    <t xml:space="preserve">Les 4 services répondent</t>
  </si>
  <si>
    <t xml:space="preserve">GET http://localhost:8081 à 8084 /ping</t>
  </si>
  <si>
    <t xml:space="preserve">Réponse OK sur chaque service</t>
  </si>
  <si>
    <t xml:space="preserve">T35</t>
  </si>
  <si>
    <t xml:space="preserve">Les données persistent après redémarrage</t>
  </si>
  <si>
    <t xml:space="preserve">docker compose down puis up, puis login</t>
  </si>
  <si>
    <t xml:space="preserve">Le compte existe toujours</t>
  </si>
  <si>
    <t xml:space="preserve">Ne pas utiliser « down -v » (efface la base)</t>
  </si>
  <si>
    <t xml:space="preserve">Synthèse des tests – Lot 1</t>
  </si>
  <si>
    <t xml:space="preserve">Nombre</t>
  </si>
  <si>
    <t xml:space="preserve">Part</t>
  </si>
  <si>
    <t xml:space="preserve">OK</t>
  </si>
  <si>
    <t xml:space="preserve">KO</t>
  </si>
  <si>
    <t xml:space="preserve">Bloqué</t>
  </si>
  <si>
    <t xml:space="preserve">Total</t>
  </si>
  <si>
    <t xml:space="preserve">Par domaine</t>
  </si>
  <si>
    <t xml:space="preserve">N°</t>
  </si>
  <si>
    <t xml:space="preserve">Test concerné</t>
  </si>
  <si>
    <t xml:space="preserve">Description du bug</t>
  </si>
  <si>
    <t xml:space="preserve">Gravité</t>
  </si>
  <si>
    <t xml:space="preserve">Service / responsable</t>
  </si>
  <si>
    <t xml:space="preserve">Lien issue GitHub</t>
  </si>
  <si>
    <t xml:space="preserve">Date détection</t>
  </si>
  <si>
    <t xml:space="preserve">Date correction</t>
  </si>
  <si>
    <t xml:space="preserve">A01</t>
  </si>
  <si>
    <t xml:space="preserve">Exemple : l'inscription avec un email déjà pris renvoie 404 au lieu de 409</t>
  </si>
  <si>
    <t xml:space="preserve">Moyenne</t>
  </si>
  <si>
    <t xml:space="preserve">PlayerService / Maxime</t>
  </si>
  <si>
    <t xml:space="preserve">https://github.com/Rayanxdn/Skull_Game_M1S1/issues/1</t>
  </si>
  <si>
    <t xml:space="preserve">Corrigé</t>
  </si>
  <si>
    <t xml:space="preserve">14/10/2026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</si>
</sst>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6.15" hidden="false" customHeight="false" outlineLevel="0" collapsed="false">
      <c r="A8" s="1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6.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42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3" t="s">
        <v>12</v>
      </c>
    </row>
    <row r="3" customFormat="false" ht="39.5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</row>
    <row r="4" customFormat="false" ht="23.85" hidden="false" customHeight="false" outlineLevel="0" collapsed="false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6" t="n">
        <v>201</v>
      </c>
      <c r="G4" s="7"/>
      <c r="H4" s="8"/>
      <c r="I4" s="7" t="s">
        <v>30</v>
      </c>
      <c r="J4" s="7"/>
      <c r="K4" s="7"/>
      <c r="L4" s="7"/>
    </row>
    <row r="5" customFormat="false" ht="23.85" hidden="false" customHeight="false" outlineLevel="0" collapsed="false">
      <c r="A5" s="5" t="s">
        <v>31</v>
      </c>
      <c r="B5" s="5" t="s">
        <v>26</v>
      </c>
      <c r="C5" s="5" t="s">
        <v>32</v>
      </c>
      <c r="D5" s="5" t="s">
        <v>33</v>
      </c>
      <c r="E5" s="5" t="s">
        <v>34</v>
      </c>
      <c r="F5" s="6" t="n">
        <v>409</v>
      </c>
      <c r="G5" s="7"/>
      <c r="H5" s="8"/>
      <c r="I5" s="7" t="s">
        <v>30</v>
      </c>
      <c r="J5" s="7"/>
      <c r="K5" s="7"/>
      <c r="L5" s="7" t="s">
        <v>35</v>
      </c>
    </row>
    <row r="6" customFormat="false" ht="15" hidden="false" customHeight="false" outlineLevel="0" collapsed="false">
      <c r="A6" s="5" t="s">
        <v>36</v>
      </c>
      <c r="B6" s="5" t="s">
        <v>26</v>
      </c>
      <c r="C6" s="5" t="s">
        <v>37</v>
      </c>
      <c r="D6" s="5" t="s">
        <v>38</v>
      </c>
      <c r="E6" s="5" t="s">
        <v>39</v>
      </c>
      <c r="F6" s="6" t="n">
        <v>400</v>
      </c>
      <c r="G6" s="7"/>
      <c r="H6" s="8"/>
      <c r="I6" s="7" t="s">
        <v>30</v>
      </c>
      <c r="J6" s="7"/>
      <c r="K6" s="7"/>
      <c r="L6" s="7"/>
    </row>
    <row r="7" customFormat="false" ht="15" hidden="false" customHeight="false" outlineLevel="0" collapsed="false">
      <c r="A7" s="5" t="s">
        <v>40</v>
      </c>
      <c r="B7" s="5" t="s">
        <v>26</v>
      </c>
      <c r="C7" s="5" t="s">
        <v>41</v>
      </c>
      <c r="D7" s="5" t="s">
        <v>42</v>
      </c>
      <c r="E7" s="5" t="s">
        <v>39</v>
      </c>
      <c r="F7" s="6" t="n">
        <v>400</v>
      </c>
      <c r="G7" s="7"/>
      <c r="H7" s="8"/>
      <c r="I7" s="7" t="s">
        <v>30</v>
      </c>
      <c r="J7" s="7"/>
      <c r="K7" s="7"/>
      <c r="L7" s="7"/>
    </row>
    <row r="8" customFormat="false" ht="15" hidden="false" customHeight="false" outlineLevel="0" collapsed="false">
      <c r="A8" s="5" t="s">
        <v>43</v>
      </c>
      <c r="B8" s="5" t="s">
        <v>26</v>
      </c>
      <c r="C8" s="5" t="s">
        <v>44</v>
      </c>
      <c r="D8" s="5" t="s">
        <v>45</v>
      </c>
      <c r="E8" s="5" t="s">
        <v>39</v>
      </c>
      <c r="F8" s="6" t="n">
        <v>400</v>
      </c>
      <c r="G8" s="7"/>
      <c r="H8" s="8"/>
      <c r="I8" s="7" t="s">
        <v>30</v>
      </c>
      <c r="J8" s="7"/>
      <c r="K8" s="7"/>
      <c r="L8" s="7"/>
    </row>
    <row r="9" customFormat="false" ht="23.85" hidden="false" customHeight="false" outlineLevel="0" collapsed="false">
      <c r="A9" s="5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6" t="n">
        <v>200</v>
      </c>
      <c r="G9" s="7"/>
      <c r="H9" s="8"/>
      <c r="I9" s="7" t="s">
        <v>30</v>
      </c>
      <c r="J9" s="7"/>
      <c r="K9" s="7"/>
      <c r="L9" s="7" t="s">
        <v>51</v>
      </c>
    </row>
    <row r="10" customFormat="false" ht="23.85" hidden="false" customHeight="false" outlineLevel="0" collapsed="false">
      <c r="A10" s="5" t="s">
        <v>52</v>
      </c>
      <c r="B10" s="5" t="s">
        <v>47</v>
      </c>
      <c r="C10" s="5" t="s">
        <v>53</v>
      </c>
      <c r="D10" s="5" t="s">
        <v>54</v>
      </c>
      <c r="E10" s="5" t="s">
        <v>55</v>
      </c>
      <c r="F10" s="6" t="n">
        <v>401</v>
      </c>
      <c r="G10" s="7"/>
      <c r="H10" s="8"/>
      <c r="I10" s="7" t="s">
        <v>30</v>
      </c>
      <c r="J10" s="7"/>
      <c r="K10" s="7"/>
      <c r="L10" s="7" t="s">
        <v>56</v>
      </c>
    </row>
    <row r="11" customFormat="false" ht="23.85" hidden="false" customHeight="false" outlineLevel="0" collapsed="false">
      <c r="A11" s="5" t="s">
        <v>57</v>
      </c>
      <c r="B11" s="5" t="s">
        <v>47</v>
      </c>
      <c r="C11" s="5" t="s">
        <v>58</v>
      </c>
      <c r="D11" s="5" t="s">
        <v>59</v>
      </c>
      <c r="E11" s="5" t="s">
        <v>55</v>
      </c>
      <c r="F11" s="6" t="n">
        <v>401</v>
      </c>
      <c r="G11" s="7"/>
      <c r="H11" s="8"/>
      <c r="I11" s="7" t="s">
        <v>30</v>
      </c>
      <c r="J11" s="7"/>
      <c r="K11" s="7"/>
      <c r="L11" s="7"/>
    </row>
    <row r="12" customFormat="false" ht="15" hidden="false" customHeight="false" outlineLevel="0" collapsed="false">
      <c r="A12" s="5" t="s">
        <v>60</v>
      </c>
      <c r="B12" s="5" t="s">
        <v>47</v>
      </c>
      <c r="C12" s="5" t="s">
        <v>61</v>
      </c>
      <c r="D12" s="5" t="s">
        <v>62</v>
      </c>
      <c r="E12" s="5" t="s">
        <v>39</v>
      </c>
      <c r="F12" s="6" t="n">
        <v>400</v>
      </c>
      <c r="G12" s="7"/>
      <c r="H12" s="8"/>
      <c r="I12" s="7" t="s">
        <v>30</v>
      </c>
      <c r="J12" s="7"/>
      <c r="K12" s="7"/>
      <c r="L12" s="7"/>
    </row>
    <row r="13" customFormat="false" ht="23.85" hidden="false" customHeight="false" outlineLevel="0" collapsed="false">
      <c r="A13" s="5" t="s">
        <v>63</v>
      </c>
      <c r="B13" s="5" t="s">
        <v>64</v>
      </c>
      <c r="C13" s="5" t="s">
        <v>65</v>
      </c>
      <c r="D13" s="5" t="s">
        <v>66</v>
      </c>
      <c r="E13" s="5" t="s">
        <v>67</v>
      </c>
      <c r="F13" s="6" t="n">
        <v>401</v>
      </c>
      <c r="G13" s="7"/>
      <c r="H13" s="8"/>
      <c r="I13" s="7" t="s">
        <v>30</v>
      </c>
      <c r="J13" s="7"/>
      <c r="K13" s="7"/>
      <c r="L13" s="7"/>
    </row>
    <row r="14" customFormat="false" ht="15" hidden="false" customHeight="false" outlineLevel="0" collapsed="false">
      <c r="A14" s="5" t="s">
        <v>68</v>
      </c>
      <c r="B14" s="5" t="s">
        <v>64</v>
      </c>
      <c r="C14" s="5" t="s">
        <v>69</v>
      </c>
      <c r="D14" s="5" t="s">
        <v>70</v>
      </c>
      <c r="E14" s="5" t="s">
        <v>67</v>
      </c>
      <c r="F14" s="6" t="n">
        <v>401</v>
      </c>
      <c r="G14" s="7"/>
      <c r="H14" s="8"/>
      <c r="I14" s="7" t="s">
        <v>30</v>
      </c>
      <c r="J14" s="7"/>
      <c r="K14" s="7"/>
      <c r="L14" s="7"/>
    </row>
    <row r="15" customFormat="false" ht="15" hidden="false" customHeight="false" outlineLevel="0" collapsed="false">
      <c r="A15" s="5" t="s">
        <v>71</v>
      </c>
      <c r="B15" s="5" t="s">
        <v>64</v>
      </c>
      <c r="C15" s="5" t="s">
        <v>72</v>
      </c>
      <c r="D15" s="5" t="s">
        <v>73</v>
      </c>
      <c r="E15" s="5" t="s">
        <v>74</v>
      </c>
      <c r="F15" s="6" t="n">
        <v>200</v>
      </c>
      <c r="G15" s="7"/>
      <c r="H15" s="8"/>
      <c r="I15" s="7" t="s">
        <v>30</v>
      </c>
      <c r="J15" s="7"/>
      <c r="K15" s="7"/>
      <c r="L15" s="7"/>
    </row>
    <row r="16" customFormat="false" ht="23.85" hidden="false" customHeight="false" outlineLevel="0" collapsed="false">
      <c r="A16" s="5" t="s">
        <v>75</v>
      </c>
      <c r="B16" s="5" t="s">
        <v>64</v>
      </c>
      <c r="C16" s="5" t="s">
        <v>76</v>
      </c>
      <c r="D16" s="5" t="s">
        <v>77</v>
      </c>
      <c r="E16" s="5" t="s">
        <v>67</v>
      </c>
      <c r="F16" s="6" t="n">
        <v>401</v>
      </c>
      <c r="G16" s="7"/>
      <c r="H16" s="8"/>
      <c r="I16" s="7" t="s">
        <v>30</v>
      </c>
      <c r="J16" s="7"/>
      <c r="K16" s="7"/>
      <c r="L16" s="7" t="s">
        <v>78</v>
      </c>
    </row>
    <row r="17" customFormat="false" ht="35.05" hidden="false" customHeight="false" outlineLevel="0" collapsed="false">
      <c r="A17" s="5" t="s">
        <v>79</v>
      </c>
      <c r="B17" s="5" t="s">
        <v>64</v>
      </c>
      <c r="C17" s="5" t="s">
        <v>80</v>
      </c>
      <c r="D17" s="5" t="s">
        <v>81</v>
      </c>
      <c r="E17" s="5" t="s">
        <v>67</v>
      </c>
      <c r="F17" s="6" t="n">
        <v>401</v>
      </c>
      <c r="G17" s="7"/>
      <c r="H17" s="8"/>
      <c r="I17" s="7" t="s">
        <v>30</v>
      </c>
      <c r="J17" s="7"/>
      <c r="K17" s="7"/>
      <c r="L17" s="7" t="s">
        <v>82</v>
      </c>
    </row>
    <row r="18" customFormat="false" ht="23.85" hidden="false" customHeight="false" outlineLevel="0" collapsed="false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87</v>
      </c>
      <c r="F18" s="6" t="n">
        <v>403</v>
      </c>
      <c r="G18" s="7"/>
      <c r="H18" s="8"/>
      <c r="I18" s="7" t="s">
        <v>30</v>
      </c>
      <c r="J18" s="7"/>
      <c r="K18" s="7"/>
      <c r="L18" s="7" t="s">
        <v>88</v>
      </c>
    </row>
    <row r="19" customFormat="false" ht="15" hidden="false" customHeight="false" outlineLevel="0" collapsed="false">
      <c r="A19" s="5" t="s">
        <v>89</v>
      </c>
      <c r="B19" s="5" t="s">
        <v>84</v>
      </c>
      <c r="C19" s="5" t="s">
        <v>90</v>
      </c>
      <c r="D19" s="5" t="s">
        <v>91</v>
      </c>
      <c r="E19" s="5" t="s">
        <v>87</v>
      </c>
      <c r="F19" s="6" t="n">
        <v>403</v>
      </c>
      <c r="G19" s="7"/>
      <c r="H19" s="8"/>
      <c r="I19" s="7" t="s">
        <v>30</v>
      </c>
      <c r="J19" s="7"/>
      <c r="K19" s="7"/>
      <c r="L19" s="7"/>
    </row>
    <row r="20" customFormat="false" ht="15" hidden="false" customHeight="false" outlineLevel="0" collapsed="false">
      <c r="A20" s="5" t="s">
        <v>92</v>
      </c>
      <c r="B20" s="5" t="s">
        <v>84</v>
      </c>
      <c r="C20" s="5" t="s">
        <v>93</v>
      </c>
      <c r="D20" s="5" t="s">
        <v>94</v>
      </c>
      <c r="E20" s="5" t="s">
        <v>87</v>
      </c>
      <c r="F20" s="6" t="n">
        <v>403</v>
      </c>
      <c r="G20" s="7"/>
      <c r="H20" s="8"/>
      <c r="I20" s="7" t="s">
        <v>30</v>
      </c>
      <c r="J20" s="7"/>
      <c r="K20" s="7"/>
      <c r="L20" s="7"/>
    </row>
    <row r="21" customFormat="false" ht="15" hidden="false" customHeight="false" outlineLevel="0" collapsed="false">
      <c r="A21" s="5" t="s">
        <v>95</v>
      </c>
      <c r="B21" s="5" t="s">
        <v>84</v>
      </c>
      <c r="C21" s="5" t="s">
        <v>96</v>
      </c>
      <c r="D21" s="5" t="s">
        <v>97</v>
      </c>
      <c r="E21" s="5" t="s">
        <v>98</v>
      </c>
      <c r="F21" s="6" t="n">
        <v>200</v>
      </c>
      <c r="G21" s="7"/>
      <c r="H21" s="8"/>
      <c r="I21" s="7" t="s">
        <v>30</v>
      </c>
      <c r="J21" s="7"/>
      <c r="K21" s="7"/>
      <c r="L21" s="7"/>
    </row>
    <row r="22" customFormat="false" ht="23.85" hidden="false" customHeight="false" outlineLevel="0" collapsed="false">
      <c r="A22" s="5" t="s">
        <v>99</v>
      </c>
      <c r="B22" s="5" t="s">
        <v>84</v>
      </c>
      <c r="C22" s="5" t="s">
        <v>100</v>
      </c>
      <c r="D22" s="5" t="s">
        <v>101</v>
      </c>
      <c r="E22" s="5" t="s">
        <v>102</v>
      </c>
      <c r="F22" s="6" t="n">
        <v>409</v>
      </c>
      <c r="G22" s="7"/>
      <c r="H22" s="8"/>
      <c r="I22" s="7" t="s">
        <v>30</v>
      </c>
      <c r="J22" s="7"/>
      <c r="K22" s="7"/>
      <c r="L22" s="7" t="s">
        <v>103</v>
      </c>
    </row>
    <row r="23" customFormat="false" ht="35.05" hidden="false" customHeight="false" outlineLevel="0" collapsed="false">
      <c r="A23" s="5" t="s">
        <v>104</v>
      </c>
      <c r="B23" s="5" t="s">
        <v>84</v>
      </c>
      <c r="C23" s="5" t="s">
        <v>105</v>
      </c>
      <c r="D23" s="5" t="s">
        <v>106</v>
      </c>
      <c r="E23" s="5" t="s">
        <v>107</v>
      </c>
      <c r="F23" s="6" t="n">
        <v>403</v>
      </c>
      <c r="G23" s="7"/>
      <c r="H23" s="8"/>
      <c r="I23" s="7" t="s">
        <v>30</v>
      </c>
      <c r="J23" s="7"/>
      <c r="K23" s="7"/>
      <c r="L23" s="7" t="s">
        <v>108</v>
      </c>
    </row>
    <row r="24" customFormat="false" ht="15" hidden="false" customHeight="false" outlineLevel="0" collapsed="false">
      <c r="A24" s="5" t="s">
        <v>109</v>
      </c>
      <c r="B24" s="5" t="s">
        <v>84</v>
      </c>
      <c r="C24" s="5" t="s">
        <v>110</v>
      </c>
      <c r="D24" s="5" t="s">
        <v>111</v>
      </c>
      <c r="E24" s="5" t="s">
        <v>112</v>
      </c>
      <c r="F24" s="6" t="n">
        <v>200</v>
      </c>
      <c r="G24" s="7"/>
      <c r="H24" s="8"/>
      <c r="I24" s="7" t="s">
        <v>30</v>
      </c>
      <c r="J24" s="7"/>
      <c r="K24" s="7"/>
      <c r="L24" s="7"/>
    </row>
    <row r="25" customFormat="false" ht="15" hidden="false" customHeight="false" outlineLevel="0" collapsed="false">
      <c r="A25" s="5" t="s">
        <v>113</v>
      </c>
      <c r="B25" s="5" t="s">
        <v>84</v>
      </c>
      <c r="C25" s="5" t="s">
        <v>114</v>
      </c>
      <c r="D25" s="5" t="s">
        <v>115</v>
      </c>
      <c r="E25" s="5" t="s">
        <v>116</v>
      </c>
      <c r="F25" s="6" t="n">
        <v>204</v>
      </c>
      <c r="G25" s="7"/>
      <c r="H25" s="8"/>
      <c r="I25" s="7" t="s">
        <v>30</v>
      </c>
      <c r="J25" s="7"/>
      <c r="K25" s="7"/>
      <c r="L25" s="7"/>
    </row>
    <row r="26" customFormat="false" ht="15" hidden="false" customHeight="false" outlineLevel="0" collapsed="false">
      <c r="A26" s="5" t="s">
        <v>117</v>
      </c>
      <c r="B26" s="5" t="s">
        <v>84</v>
      </c>
      <c r="C26" s="5" t="s">
        <v>118</v>
      </c>
      <c r="D26" s="5" t="s">
        <v>119</v>
      </c>
      <c r="E26" s="5" t="s">
        <v>120</v>
      </c>
      <c r="F26" s="6" t="n">
        <v>404</v>
      </c>
      <c r="G26" s="7"/>
      <c r="H26" s="8"/>
      <c r="I26" s="7" t="s">
        <v>30</v>
      </c>
      <c r="J26" s="7"/>
      <c r="K26" s="7"/>
      <c r="L26" s="7"/>
    </row>
    <row r="27" customFormat="false" ht="23.85" hidden="false" customHeight="false" outlineLevel="0" collapsed="false">
      <c r="A27" s="5" t="s">
        <v>121</v>
      </c>
      <c r="B27" s="5" t="s">
        <v>122</v>
      </c>
      <c r="C27" s="5" t="s">
        <v>123</v>
      </c>
      <c r="D27" s="5" t="s">
        <v>124</v>
      </c>
      <c r="E27" s="5" t="s">
        <v>125</v>
      </c>
      <c r="F27" s="6" t="n">
        <v>200</v>
      </c>
      <c r="G27" s="7"/>
      <c r="H27" s="8"/>
      <c r="I27" s="7" t="s">
        <v>30</v>
      </c>
      <c r="J27" s="7"/>
      <c r="K27" s="7"/>
      <c r="L27" s="7" t="s">
        <v>126</v>
      </c>
    </row>
    <row r="28" customFormat="false" ht="15" hidden="false" customHeight="false" outlineLevel="0" collapsed="false">
      <c r="A28" s="5" t="s">
        <v>127</v>
      </c>
      <c r="B28" s="5" t="s">
        <v>122</v>
      </c>
      <c r="C28" s="5" t="s">
        <v>128</v>
      </c>
      <c r="D28" s="5" t="s">
        <v>129</v>
      </c>
      <c r="E28" s="5" t="s">
        <v>130</v>
      </c>
      <c r="F28" s="6" t="n">
        <v>200</v>
      </c>
      <c r="G28" s="7"/>
      <c r="H28" s="8"/>
      <c r="I28" s="7" t="s">
        <v>30</v>
      </c>
      <c r="J28" s="7"/>
      <c r="K28" s="7"/>
      <c r="L28" s="7"/>
    </row>
    <row r="29" customFormat="false" ht="23.85" hidden="false" customHeight="false" outlineLevel="0" collapsed="false">
      <c r="A29" s="5" t="s">
        <v>131</v>
      </c>
      <c r="B29" s="5" t="s">
        <v>132</v>
      </c>
      <c r="C29" s="5" t="s">
        <v>133</v>
      </c>
      <c r="D29" s="5" t="s">
        <v>134</v>
      </c>
      <c r="E29" s="5" t="s">
        <v>135</v>
      </c>
      <c r="F29" s="6" t="n">
        <v>200</v>
      </c>
      <c r="G29" s="7"/>
      <c r="H29" s="8"/>
      <c r="I29" s="7" t="s">
        <v>30</v>
      </c>
      <c r="J29" s="7"/>
      <c r="K29" s="7"/>
      <c r="L29" s="7" t="s">
        <v>136</v>
      </c>
    </row>
    <row r="30" customFormat="false" ht="46.25" hidden="false" customHeight="false" outlineLevel="0" collapsed="false">
      <c r="A30" s="5" t="s">
        <v>137</v>
      </c>
      <c r="B30" s="5" t="s">
        <v>132</v>
      </c>
      <c r="C30" s="5" t="s">
        <v>138</v>
      </c>
      <c r="D30" s="5" t="s">
        <v>139</v>
      </c>
      <c r="E30" s="5" t="s">
        <v>87</v>
      </c>
      <c r="F30" s="6" t="n">
        <v>403</v>
      </c>
      <c r="G30" s="7"/>
      <c r="H30" s="8"/>
      <c r="I30" s="7" t="s">
        <v>30</v>
      </c>
      <c r="J30" s="7"/>
      <c r="K30" s="7"/>
      <c r="L30" s="7" t="s">
        <v>140</v>
      </c>
    </row>
    <row r="31" customFormat="false" ht="23.85" hidden="false" customHeight="false" outlineLevel="0" collapsed="false">
      <c r="A31" s="5" t="s">
        <v>141</v>
      </c>
      <c r="B31" s="5" t="s">
        <v>132</v>
      </c>
      <c r="C31" s="5" t="s">
        <v>142</v>
      </c>
      <c r="D31" s="5" t="s">
        <v>143</v>
      </c>
      <c r="E31" s="5" t="s">
        <v>67</v>
      </c>
      <c r="F31" s="6" t="n">
        <v>401</v>
      </c>
      <c r="G31" s="7"/>
      <c r="H31" s="8"/>
      <c r="I31" s="7" t="s">
        <v>30</v>
      </c>
      <c r="J31" s="7"/>
      <c r="K31" s="7"/>
      <c r="L31" s="7" t="s">
        <v>144</v>
      </c>
    </row>
    <row r="32" customFormat="false" ht="23.85" hidden="false" customHeight="false" outlineLevel="0" collapsed="false">
      <c r="A32" s="5" t="s">
        <v>145</v>
      </c>
      <c r="B32" s="5" t="s">
        <v>132</v>
      </c>
      <c r="C32" s="5" t="s">
        <v>146</v>
      </c>
      <c r="D32" s="5" t="s">
        <v>147</v>
      </c>
      <c r="E32" s="5" t="s">
        <v>148</v>
      </c>
      <c r="F32" s="6" t="n">
        <v>403</v>
      </c>
      <c r="G32" s="7"/>
      <c r="H32" s="8"/>
      <c r="I32" s="7" t="s">
        <v>30</v>
      </c>
      <c r="J32" s="7"/>
      <c r="K32" s="7"/>
      <c r="L32" s="7" t="s">
        <v>56</v>
      </c>
    </row>
    <row r="33" customFormat="false" ht="35.05" hidden="false" customHeight="false" outlineLevel="0" collapsed="false">
      <c r="A33" s="5" t="s">
        <v>149</v>
      </c>
      <c r="B33" s="5" t="s">
        <v>132</v>
      </c>
      <c r="C33" s="5" t="s">
        <v>150</v>
      </c>
      <c r="D33" s="5" t="s">
        <v>151</v>
      </c>
      <c r="E33" s="5" t="s">
        <v>67</v>
      </c>
      <c r="F33" s="6" t="n">
        <v>403</v>
      </c>
      <c r="G33" s="7"/>
      <c r="H33" s="8"/>
      <c r="I33" s="7" t="s">
        <v>30</v>
      </c>
      <c r="J33" s="7"/>
      <c r="K33" s="7"/>
      <c r="L33" s="7" t="s">
        <v>152</v>
      </c>
    </row>
    <row r="34" customFormat="false" ht="23.85" hidden="false" customHeight="false" outlineLevel="0" collapsed="false">
      <c r="A34" s="5" t="s">
        <v>153</v>
      </c>
      <c r="B34" s="5" t="s">
        <v>132</v>
      </c>
      <c r="C34" s="5" t="s">
        <v>154</v>
      </c>
      <c r="D34" s="5" t="s">
        <v>155</v>
      </c>
      <c r="E34" s="5" t="s">
        <v>156</v>
      </c>
      <c r="F34" s="6" t="n">
        <v>200</v>
      </c>
      <c r="G34" s="7"/>
      <c r="H34" s="8"/>
      <c r="I34" s="7" t="s">
        <v>30</v>
      </c>
      <c r="J34" s="7"/>
      <c r="K34" s="7"/>
      <c r="L34" s="7"/>
    </row>
    <row r="35" customFormat="false" ht="15" hidden="false" customHeight="false" outlineLevel="0" collapsed="false">
      <c r="A35" s="5" t="s">
        <v>157</v>
      </c>
      <c r="B35" s="5" t="s">
        <v>132</v>
      </c>
      <c r="C35" s="5" t="s">
        <v>158</v>
      </c>
      <c r="D35" s="5" t="s">
        <v>159</v>
      </c>
      <c r="E35" s="5" t="s">
        <v>160</v>
      </c>
      <c r="F35" s="6" t="n">
        <v>200</v>
      </c>
      <c r="G35" s="7"/>
      <c r="H35" s="8"/>
      <c r="I35" s="7" t="s">
        <v>30</v>
      </c>
      <c r="J35" s="7"/>
      <c r="K35" s="7"/>
      <c r="L35" s="7"/>
    </row>
    <row r="36" customFormat="false" ht="23.85" hidden="false" customHeight="false" outlineLevel="0" collapsed="false">
      <c r="A36" s="5" t="s">
        <v>161</v>
      </c>
      <c r="B36" s="5" t="s">
        <v>132</v>
      </c>
      <c r="C36" s="5" t="s">
        <v>162</v>
      </c>
      <c r="D36" s="5" t="s">
        <v>163</v>
      </c>
      <c r="E36" s="5" t="s">
        <v>164</v>
      </c>
      <c r="F36" s="6" t="n">
        <v>404</v>
      </c>
      <c r="G36" s="7"/>
      <c r="H36" s="8"/>
      <c r="I36" s="7" t="s">
        <v>30</v>
      </c>
      <c r="J36" s="7"/>
      <c r="K36" s="7"/>
      <c r="L36" s="7"/>
    </row>
    <row r="37" customFormat="false" ht="15" hidden="false" customHeight="false" outlineLevel="0" collapsed="false">
      <c r="A37" s="5" t="s">
        <v>165</v>
      </c>
      <c r="B37" s="5" t="s">
        <v>166</v>
      </c>
      <c r="C37" s="5" t="s">
        <v>167</v>
      </c>
      <c r="D37" s="5" t="s">
        <v>168</v>
      </c>
      <c r="E37" s="5" t="s">
        <v>169</v>
      </c>
      <c r="F37" s="6" t="n">
        <v>200</v>
      </c>
      <c r="G37" s="7"/>
      <c r="H37" s="8"/>
      <c r="I37" s="7" t="s">
        <v>30</v>
      </c>
      <c r="J37" s="7"/>
      <c r="K37" s="7"/>
      <c r="L37" s="7"/>
    </row>
    <row r="38" customFormat="false" ht="23.85" hidden="false" customHeight="false" outlineLevel="0" collapsed="false">
      <c r="A38" s="5" t="s">
        <v>170</v>
      </c>
      <c r="B38" s="5" t="s">
        <v>166</v>
      </c>
      <c r="C38" s="5" t="s">
        <v>171</v>
      </c>
      <c r="D38" s="5" t="s">
        <v>172</v>
      </c>
      <c r="E38" s="5" t="s">
        <v>173</v>
      </c>
      <c r="F38" s="6" t="n">
        <v>200</v>
      </c>
      <c r="G38" s="7"/>
      <c r="H38" s="8"/>
      <c r="I38" s="7" t="s">
        <v>30</v>
      </c>
      <c r="J38" s="7"/>
      <c r="K38" s="7"/>
      <c r="L38" s="7" t="s">
        <v>174</v>
      </c>
    </row>
  </sheetData>
  <autoFilter ref="A3:L38"/>
  <conditionalFormatting sqref="I4:I38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5">
      <formula>"KO"</formula>
    </cfRule>
    <cfRule type="cellIs" priority="4" operator="equal" aboveAverage="0" equalAverage="0" bottom="0" percent="0" rank="0" text="" dxfId="6">
      <formula>"Bloqué"</formula>
    </cfRule>
  </conditionalFormatting>
  <dataValidations count="1">
    <dataValidation allowBlank="false" errorStyle="stop" operator="between" showDropDown="false" showErrorMessage="false" showInputMessage="false" sqref="I4:I38" type="list">
      <formula1>"À faire,OK,KO,Bloqué"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3" t="s">
        <v>175</v>
      </c>
    </row>
    <row r="3" customFormat="false" ht="15" hidden="false" customHeight="false" outlineLevel="0" collapsed="false">
      <c r="A3" s="4" t="s">
        <v>21</v>
      </c>
      <c r="B3" s="4" t="s">
        <v>176</v>
      </c>
      <c r="C3" s="4" t="s">
        <v>177</v>
      </c>
    </row>
    <row r="4" customFormat="false" ht="15" hidden="false" customHeight="false" outlineLevel="0" collapsed="false">
      <c r="A4" s="9" t="s">
        <v>178</v>
      </c>
      <c r="B4" s="9" t="n">
        <f aca="false">COUNTIF('Plan de tests Lot 1'!$I$4:$I$38,A4)</f>
        <v>0</v>
      </c>
      <c r="C4" s="10" t="n">
        <f aca="false">IFERROR(B4/$B$8,0)</f>
        <v>0</v>
      </c>
    </row>
    <row r="5" customFormat="false" ht="15" hidden="false" customHeight="false" outlineLevel="0" collapsed="false">
      <c r="A5" s="9" t="s">
        <v>179</v>
      </c>
      <c r="B5" s="9" t="n">
        <f aca="false">COUNTIF('Plan de tests Lot 1'!$I$4:$I$38,A5)</f>
        <v>0</v>
      </c>
      <c r="C5" s="10" t="n">
        <f aca="false">IFERROR(B5/$B$8,0)</f>
        <v>0</v>
      </c>
    </row>
    <row r="6" customFormat="false" ht="15" hidden="false" customHeight="false" outlineLevel="0" collapsed="false">
      <c r="A6" s="9" t="s">
        <v>180</v>
      </c>
      <c r="B6" s="9" t="n">
        <f aca="false">COUNTIF('Plan de tests Lot 1'!$I$4:$I$38,A6)</f>
        <v>0</v>
      </c>
      <c r="C6" s="10" t="n">
        <f aca="false">IFERROR(B6/$B$8,0)</f>
        <v>0</v>
      </c>
    </row>
    <row r="7" customFormat="false" ht="15" hidden="false" customHeight="false" outlineLevel="0" collapsed="false">
      <c r="A7" s="9" t="s">
        <v>30</v>
      </c>
      <c r="B7" s="9" t="n">
        <f aca="false">COUNTIF('Plan de tests Lot 1'!$I$4:$I$38,A7)</f>
        <v>35</v>
      </c>
      <c r="C7" s="10" t="n">
        <f aca="false">IFERROR(B7/$B$8,0)</f>
        <v>1</v>
      </c>
    </row>
    <row r="8" customFormat="false" ht="15" hidden="false" customHeight="false" outlineLevel="0" collapsed="false">
      <c r="A8" s="11" t="s">
        <v>181</v>
      </c>
      <c r="B8" s="11" t="n">
        <f aca="false">SUM(B4:B7)</f>
        <v>35</v>
      </c>
      <c r="C8" s="12" t="n">
        <f aca="false">SUM(C4:C7)</f>
        <v>1</v>
      </c>
    </row>
    <row r="10" customFormat="false" ht="15" hidden="false" customHeight="false" outlineLevel="0" collapsed="false">
      <c r="A10" s="13" t="s">
        <v>182</v>
      </c>
    </row>
    <row r="11" customFormat="false" ht="15" hidden="false" customHeight="false" outlineLevel="0" collapsed="false">
      <c r="A11" s="4" t="s">
        <v>14</v>
      </c>
      <c r="B11" s="4" t="s">
        <v>181</v>
      </c>
      <c r="C11" s="4" t="s">
        <v>178</v>
      </c>
      <c r="D11" s="4" t="s">
        <v>179</v>
      </c>
    </row>
    <row r="12" customFormat="false" ht="15" hidden="false" customHeight="false" outlineLevel="0" collapsed="false">
      <c r="A12" s="9" t="s">
        <v>26</v>
      </c>
      <c r="B12" s="9" t="n">
        <f aca="false">COUNTIF('Plan de tests Lot 1'!$B$4:$B$38,A12)</f>
        <v>5</v>
      </c>
      <c r="C12" s="9" t="n">
        <f aca="false">COUNTIFS('Plan de tests Lot 1'!$B$4:$B$38,A12,'Plan de tests Lot 1'!$I$4:$I$38,"OK")</f>
        <v>0</v>
      </c>
      <c r="D12" s="9" t="n">
        <f aca="false">COUNTIFS('Plan de tests Lot 1'!$B$4:$B$38,A12,'Plan de tests Lot 1'!$I$4:$I$38,"KO")</f>
        <v>0</v>
      </c>
    </row>
    <row r="13" customFormat="false" ht="15" hidden="false" customHeight="false" outlineLevel="0" collapsed="false">
      <c r="A13" s="9" t="s">
        <v>47</v>
      </c>
      <c r="B13" s="9" t="n">
        <f aca="false">COUNTIF('Plan de tests Lot 1'!$B$4:$B$38,A13)</f>
        <v>4</v>
      </c>
      <c r="C13" s="9" t="n">
        <f aca="false">COUNTIFS('Plan de tests Lot 1'!$B$4:$B$38,A13,'Plan de tests Lot 1'!$I$4:$I$38,"OK")</f>
        <v>0</v>
      </c>
      <c r="D13" s="9" t="n">
        <f aca="false">COUNTIFS('Plan de tests Lot 1'!$B$4:$B$38,A13,'Plan de tests Lot 1'!$I$4:$I$38,"KO")</f>
        <v>0</v>
      </c>
    </row>
    <row r="14" customFormat="false" ht="15" hidden="false" customHeight="false" outlineLevel="0" collapsed="false">
      <c r="A14" s="9" t="s">
        <v>64</v>
      </c>
      <c r="B14" s="9" t="n">
        <f aca="false">COUNTIF('Plan de tests Lot 1'!$B$4:$B$38,A14)</f>
        <v>5</v>
      </c>
      <c r="C14" s="9" t="n">
        <f aca="false">COUNTIFS('Plan de tests Lot 1'!$B$4:$B$38,A14,'Plan de tests Lot 1'!$I$4:$I$38,"OK")</f>
        <v>0</v>
      </c>
      <c r="D14" s="9" t="n">
        <f aca="false">COUNTIFS('Plan de tests Lot 1'!$B$4:$B$38,A14,'Plan de tests Lot 1'!$I$4:$I$38,"KO")</f>
        <v>0</v>
      </c>
    </row>
    <row r="15" customFormat="false" ht="15" hidden="false" customHeight="false" outlineLevel="0" collapsed="false">
      <c r="A15" s="9" t="s">
        <v>84</v>
      </c>
      <c r="B15" s="9" t="n">
        <f aca="false">COUNTIF('Plan de tests Lot 1'!$B$4:$B$38,A15)</f>
        <v>9</v>
      </c>
      <c r="C15" s="9" t="n">
        <f aca="false">COUNTIFS('Plan de tests Lot 1'!$B$4:$B$38,A15,'Plan de tests Lot 1'!$I$4:$I$38,"OK")</f>
        <v>0</v>
      </c>
      <c r="D15" s="9" t="n">
        <f aca="false">COUNTIFS('Plan de tests Lot 1'!$B$4:$B$38,A15,'Plan de tests Lot 1'!$I$4:$I$38,"KO")</f>
        <v>0</v>
      </c>
    </row>
    <row r="16" customFormat="false" ht="15" hidden="false" customHeight="false" outlineLevel="0" collapsed="false">
      <c r="A16" s="9" t="s">
        <v>122</v>
      </c>
      <c r="B16" s="9" t="n">
        <f aca="false">COUNTIF('Plan de tests Lot 1'!$B$4:$B$38,A16)</f>
        <v>2</v>
      </c>
      <c r="C16" s="9" t="n">
        <f aca="false">COUNTIFS('Plan de tests Lot 1'!$B$4:$B$38,A16,'Plan de tests Lot 1'!$I$4:$I$38,"OK")</f>
        <v>0</v>
      </c>
      <c r="D16" s="9" t="n">
        <f aca="false">COUNTIFS('Plan de tests Lot 1'!$B$4:$B$38,A16,'Plan de tests Lot 1'!$I$4:$I$38,"KO")</f>
        <v>0</v>
      </c>
    </row>
    <row r="17" customFormat="false" ht="15" hidden="false" customHeight="false" outlineLevel="0" collapsed="false">
      <c r="A17" s="9" t="s">
        <v>132</v>
      </c>
      <c r="B17" s="9" t="n">
        <f aca="false">COUNTIF('Plan de tests Lot 1'!$B$4:$B$38,A17)</f>
        <v>8</v>
      </c>
      <c r="C17" s="9" t="n">
        <f aca="false">COUNTIFS('Plan de tests Lot 1'!$B$4:$B$38,A17,'Plan de tests Lot 1'!$I$4:$I$38,"OK")</f>
        <v>0</v>
      </c>
      <c r="D17" s="9" t="n">
        <f aca="false">COUNTIFS('Plan de tests Lot 1'!$B$4:$B$38,A17,'Plan de tests Lot 1'!$I$4:$I$38,"KO")</f>
        <v>0</v>
      </c>
    </row>
    <row r="18" customFormat="false" ht="15" hidden="false" customHeight="false" outlineLevel="0" collapsed="false">
      <c r="A18" s="9" t="s">
        <v>166</v>
      </c>
      <c r="B18" s="9" t="n">
        <f aca="false">COUNTIF('Plan de tests Lot 1'!$B$4:$B$38,A18)</f>
        <v>2</v>
      </c>
      <c r="C18" s="9" t="n">
        <f aca="false">COUNTIFS('Plan de tests Lot 1'!$B$4:$B$38,A18,'Plan de tests Lot 1'!$I$4:$I$38,"OK")</f>
        <v>0</v>
      </c>
      <c r="D18" s="9" t="n">
        <f aca="false">COUNTIFS('Plan de tests Lot 1'!$B$4:$B$38,A18,'Plan de tests Lot 1'!$I$4:$I$38,"KO")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26.85" hidden="false" customHeight="false" outlineLevel="0" collapsed="false">
      <c r="A1" s="4" t="s">
        <v>183</v>
      </c>
      <c r="B1" s="4" t="s">
        <v>184</v>
      </c>
      <c r="C1" s="4" t="s">
        <v>185</v>
      </c>
      <c r="D1" s="4" t="s">
        <v>186</v>
      </c>
      <c r="E1" s="4" t="s">
        <v>187</v>
      </c>
      <c r="F1" s="4" t="s">
        <v>188</v>
      </c>
      <c r="G1" s="4" t="s">
        <v>21</v>
      </c>
      <c r="H1" s="4" t="s">
        <v>189</v>
      </c>
      <c r="I1" s="4" t="s">
        <v>190</v>
      </c>
    </row>
    <row r="2" customFormat="false" ht="23.85" hidden="false" customHeight="false" outlineLevel="0" collapsed="false">
      <c r="A2" s="14" t="s">
        <v>191</v>
      </c>
      <c r="B2" s="14" t="s">
        <v>31</v>
      </c>
      <c r="C2" s="14" t="s">
        <v>192</v>
      </c>
      <c r="D2" s="14" t="s">
        <v>193</v>
      </c>
      <c r="E2" s="14" t="s">
        <v>194</v>
      </c>
      <c r="F2" s="14" t="s">
        <v>195</v>
      </c>
      <c r="G2" s="14" t="s">
        <v>196</v>
      </c>
      <c r="H2" s="14" t="s">
        <v>197</v>
      </c>
      <c r="I2" s="14" t="s">
        <v>197</v>
      </c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</row>
    <row r="4" customFormat="false" ht="1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</row>
  </sheetData>
  <dataValidations count="2">
    <dataValidation allowBlank="false" errorStyle="stop" operator="between" showDropDown="false" showErrorMessage="false" showInputMessage="false" sqref="D3:D31" type="list">
      <formula1>"Faible,Moyenne,Haute,Bloquante"</formula1>
      <formula2>0</formula2>
    </dataValidation>
    <dataValidation allowBlank="false" errorStyle="stop" operator="between" showDropDown="false" showErrorMessage="false" showInputMessage="false" sqref="G3:G31" type="list">
      <formula1>"Ouvert,En cours,Corrigé,Retesté 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2026-10-20T13:20:09Z</dcterms:created>
  <dc:creator>openpyxl</dc:creator>
  <dc:description/>
  <dc:language>en-US</dc:language>
  <cp:lastModifiedBy/>
  <dcterms:modified xsi:type="dcterms:W3CDTF">2026-10-20T13:20:09Z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