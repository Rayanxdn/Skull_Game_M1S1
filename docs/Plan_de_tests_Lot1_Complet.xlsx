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tests Lot 1" sheetId="1" state="visible" r:id="rId3"/>
    <sheet name="Synthèse" sheetId="2" state="visible" r:id="rId4"/>
    <sheet name="Anomali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<sst xmlns="http://schemas.openxmlformats.org/spreadsheetml/2006/main" count="577" uniqueCount="355">
  <si>
    <t xml:space="preserve">Plan de tests – Lot 1 – Projet Skull M1S1</t>
  </si>
  <si>
    <t xml:space="preserve">ID</t>
  </si>
  <si>
    <t xml:space="preserve">Domaine</t>
  </si>
  <si>
    <t xml:space="preserve">Scénario (ce que je fais)</t>
  </si>
  <si>
    <t xml:space="preserve">Requête (à adapter)</t>
  </si>
  <si>
    <t xml:space="preserve">Résultat attendu</t>
  </si>
  <si>
    <t xml:space="preserve">Code HTTP attendu</t>
  </si>
  <si>
    <t xml:space="preserve">Résultat obtenu</t>
  </si>
  <si>
    <t xml:space="preserve">Code HTTP obtenu</t>
  </si>
  <si>
    <t xml:space="preserve">Statut</t>
  </si>
  <si>
    <t xml:space="preserve">Testeur</t>
  </si>
  <si>
    <t xml:space="preserve">Date</t>
  </si>
  <si>
    <t xml:space="preserve">Remarques / n° issue</t>
  </si>
  <si>
    <t xml:space="preserve">T01</t>
  </si>
  <si>
    <t xml:space="preserve">Inscription</t>
  </si>
  <si>
    <t xml:space="preserve">Inscription avec email et mot de passe valides</t>
  </si>
  <si>
    <t xml:space="preserve">POST /api/v1/players/register {email, password}</t>
  </si>
  <si>
    <t xml:space="preserve">Compte créé ; le mot de passe n'apparaît pas dans la réponse</t>
  </si>
  <si>
    <t xml:space="preserve">Compte créé : id 2, pseudo, email, banned false. Mot de passe absent de la réponse.</t>
  </si>
  <si>
    <t xml:space="preserve">OK</t>
  </si>
  <si>
    <t xml:space="preserve">Rania</t>
  </si>
  <si>
    <t xml:space="preserve">capture : T01_inscription_valide_201.png</t>
  </si>
  <si>
    <t xml:space="preserve">T02</t>
  </si>
  <si>
    <t xml:space="preserve">Inscription avec un email déjà utilisé</t>
  </si>
  <si>
    <t xml:space="preserve">POST /api/v1/players/register (même email)</t>
  </si>
  <si>
    <t xml:space="preserve">Message « email déjà utilisé »</t>
  </si>
  <si>
    <t xml:space="preserve">« Cet email est déjà utilisé »</t>
  </si>
  <si>
    <t xml:space="preserve">T02_email_deja_utilise_409.png</t>
  </si>
  <si>
    <t xml:space="preserve">T03</t>
  </si>
  <si>
    <t xml:space="preserve">Inscription avec un email invalide (ex : abc)</t>
  </si>
  <si>
    <t xml:space="preserve">POST /api/v1/players/register {email:'abc'}</t>
  </si>
  <si>
    <t xml:space="preserve">Erreur de validation</t>
  </si>
  <si>
    <t xml:space="preserve">invalidParams : email = « Format invalide</t>
  </si>
  <si>
    <t xml:space="preserve">capture : T03_email_invalide_400.png</t>
  </si>
  <si>
    <t xml:space="preserve">T04</t>
  </si>
  <si>
    <t xml:space="preserve">Inscription sans mot de passe</t>
  </si>
  <si>
    <t xml:space="preserve">POST /api/v1/players/register {email}</t>
  </si>
  <si>
    <t xml:space="preserve">invalidParams : password = « Mot de passe obligatoire »</t>
  </si>
  <si>
    <t xml:space="preserve">capture : T04_mot_de_passe_manquant_400.png</t>
  </si>
  <si>
    <t xml:space="preserve">T05</t>
  </si>
  <si>
    <t xml:space="preserve">Inscription avec corps vide</t>
  </si>
  <si>
    <t xml:space="preserve">POST /api/v1/players/register {}</t>
  </si>
  <si>
    <t xml:space="preserve">invalidParams : password, pseudo et email signalés</t>
  </si>
  <si>
    <t xml:space="preserve">capture : T05_corps_vide_400.png</t>
  </si>
  <si>
    <t xml:space="preserve">T06</t>
  </si>
  <si>
    <t xml:space="preserve">Connexion</t>
  </si>
  <si>
    <t xml:space="preserve">Connexion avec identifiants corrects</t>
  </si>
  <si>
    <t xml:space="preserve">POST /api/v1/auth/login {email, password}</t>
  </si>
  <si>
    <t xml:space="preserve">Un token JWT est renvoyé</t>
  </si>
  <si>
    <t xml:space="preserve">Token JWT renvoyé, id 2, rôle USER</t>
  </si>
  <si>
    <t xml:space="preserve">capture : T06_connexion_ok_200.png</t>
  </si>
  <si>
    <t xml:space="preserve">T07</t>
  </si>
  <si>
    <t xml:space="preserve">Connexion avec mauvais mot de passe</t>
  </si>
  <si>
    <t xml:space="preserve">POST /api/v1/auth/login (mauvais mdp)</t>
  </si>
  <si>
    <t xml:space="preserve">« Email ou mot de passe incorrect », pas de token</t>
  </si>
  <si>
    <t xml:space="preserve">capture : T07_mauvais_mdp_401.png</t>
  </si>
  <si>
    <t xml:space="preserve">T08</t>
  </si>
  <si>
    <t xml:space="preserve">Connexion avec un email inconnu</t>
  </si>
  <si>
    <t xml:space="preserve">POST /api/v1/auth/login (email inexistant)</t>
  </si>
  <si>
    <t xml:space="preserve">« Email ou mot de passe incorrect », même message que T07, pas de token</t>
  </si>
  <si>
    <t xml:space="preserve">capture : T08_email_inconnu_401.png</t>
  </si>
  <si>
    <t xml:space="preserve">T09</t>
  </si>
  <si>
    <t xml:space="preserve">Connexion avec corps vide</t>
  </si>
  <si>
    <t xml:space="preserve">POST /api/v1/auth/login {}</t>
  </si>
  <si>
    <t xml:space="preserve">invalidParams : password et email signalés</t>
  </si>
  <si>
    <t xml:space="preserve">capture : T09_login_corps_vide_400.png</t>
  </si>
  <si>
    <t xml:space="preserve">T10</t>
  </si>
  <si>
    <t xml:space="preserve">Sécurité JWT</t>
  </si>
  <si>
    <t xml:space="preserve">Lire un compte sans token</t>
  </si>
  <si>
    <t xml:space="preserve">GET /api/v1/players/{id} (sans en-tête Authorization)</t>
  </si>
  <si>
    <t xml:space="preserve">Accès refusé</t>
  </si>
  <si>
    <t xml:space="preserve">accès refusé sans token, réponse sans contenu
</t>
  </si>
  <si>
    <t xml:space="preserve">capture : T10_sans_token_401.png</t>
  </si>
  <si>
    <t xml:space="preserve">T11</t>
  </si>
  <si>
    <t xml:space="preserve">Lire un compte avec un token invalide</t>
  </si>
  <si>
    <t xml:space="preserve">GET /api/v1/players/{id} (Bearer abc123)</t>
  </si>
  <si>
    <t xml:space="preserve">accès refusé avec un faux token, réponse sans contenu</t>
  </si>
  <si>
    <t xml:space="preserve">capture : T11_token_invalide_401.png</t>
  </si>
  <si>
    <t xml:space="preserve">T12</t>
  </si>
  <si>
    <t xml:space="preserve">Lire son propre compte avec un token valide</t>
  </si>
  <si>
    <t xml:space="preserve">GET /api/v1/players/{id} (Bearer &lt;token&gt;, son id)</t>
  </si>
  <si>
    <t xml:space="preserve">Infos du joueur, sans mot de passe</t>
  </si>
  <si>
    <t xml:space="preserve">infos du compte id 2, sans mot de passe</t>
  </si>
  <si>
    <t xml:space="preserve">capture : T12_compte_avec_token_200.png</t>
  </si>
  <si>
    <t xml:space="preserve">T13</t>
  </si>
  <si>
    <t xml:space="preserve">Lire un compte avec un token expiré</t>
  </si>
  <si>
    <t xml:space="preserve">GET /api/v1/players/{id} (token expiré)</t>
  </si>
  <si>
    <t xml:space="preserve">401 avec un token créé à 20h18 et testé à 21h45(plus d'une heure après)</t>
  </si>
  <si>
    <t xml:space="preserve">capture : T13_token_expire_401.png. Le même token donnait 200 avant (T12 à T19), durée de vie d'environ 1 h</t>
  </si>
  <si>
    <t xml:space="preserve">T14</t>
  </si>
  <si>
    <t xml:space="preserve">Lister tous les joueurs sans token</t>
  </si>
  <si>
    <t xml:space="preserve">GET /api/v1/players</t>
  </si>
  <si>
    <t xml:space="preserve">liste des joueurs refusée sans token</t>
  </si>
  <si>
    <t xml:space="preserve">capture : T14_liste_sans_token_401.png</t>
  </si>
  <si>
    <t xml:space="preserve">T15</t>
  </si>
  <si>
    <t xml:space="preserve">Permissions</t>
  </si>
  <si>
    <t xml:space="preserve">Un joueur lit le compte d'un autre joueur</t>
  </si>
  <si>
    <t xml:space="preserve">GET /api/v1/players/{id autre} (token joueur)</t>
  </si>
  <si>
    <t xml:space="preserve">Accès interdit</t>
  </si>
  <si>
    <t xml:space="preserve">« Accès refusé », le joueur 2 ne peut pas lire le compte du joueur 3</t>
  </si>
  <si>
    <t xml:space="preserve">capture : T15_lire_autre_compte_403.png</t>
  </si>
  <si>
    <t xml:space="preserve">T16</t>
  </si>
  <si>
    <t xml:space="preserve">Un joueur modifie le compte d'un autre joueur</t>
  </si>
  <si>
    <t xml:space="preserve">PUT /api/v1/players/{id autre} (token joueur)</t>
  </si>
  <si>
    <t xml:space="preserve">« Accès refusé », le joueur 2 ne peut pas modifier le compte du joueur 3</t>
  </si>
  <si>
    <t xml:space="preserve">capture : T16_1/2modifier_autre_compte_403.png</t>
  </si>
  <si>
    <t xml:space="preserve">T17</t>
  </si>
  <si>
    <t xml:space="preserve">Un joueur supprime le compte d'un autre joueur</t>
  </si>
  <si>
    <t xml:space="preserve">DELETE /api/v1/players/{id autre} (token joueur)</t>
  </si>
  <si>
    <t xml:space="preserve">« Accès refusé », le joueur 2 ne peut pas supprimer le compte du joueur 3</t>
  </si>
  <si>
    <t xml:space="preserve">capture : T17_supprimer_autre_compte_403.png</t>
  </si>
  <si>
    <t xml:space="preserve">T18</t>
  </si>
  <si>
    <t xml:space="preserve">Un joueur modifie son propre compte</t>
  </si>
  <si>
    <t xml:space="preserve">PUT /api/v1/players/{son id} (token joueur)</t>
  </si>
  <si>
    <t xml:space="preserve">Compte mis à jour</t>
  </si>
  <si>
    <t xml:space="preserve">pseudo modifié en « rania_modifie », email et id inchangés
</t>
  </si>
  <si>
    <t xml:space="preserve">capture : T18_modifier_propre_compte_200.png</t>
  </si>
  <si>
    <t xml:space="preserve">T19</t>
  </si>
  <si>
    <t xml:space="preserve">Modifier son email vers un email déjà pris</t>
  </si>
  <si>
    <t xml:space="preserve">PUT /api/v1/players/{son id} {email d'un autre}</t>
  </si>
  <si>
    <t xml:space="preserve">Message propre « email déjà utilisé »</t>
  </si>
  <si>
    <t xml:space="preserve">« Cet email est déjà utilisé par un autre compte ! », pas d'erreur SQL</t>
  </si>
  <si>
    <t xml:space="preserve">capture : T19_email_deja_pris_409.png</t>
  </si>
  <si>
    <t xml:space="preserve">T20</t>
  </si>
  <si>
    <t xml:space="preserve">Un joueur normal liste tous les joueurs</t>
  </si>
  <si>
    <t xml:space="preserve">GET /api/v1/players (token joueur)</t>
  </si>
  <si>
    <t xml:space="preserve">Accès interdit (réservé à l'admin)</t>
  </si>
  <si>
    <t xml:space="preserve">403 Forbidden : un joueur connecté ne peut plus lister les joueurs (réservé à l'administrateur)</t>
  </si>
  <si>
    <t xml:space="preserve">Retest 29/10/2026 : 401 devenu 403 (A02 corrigée). Capture : T20_liste_joueur_connecte_403_retest.png</t>
  </si>
  <si>
    <t xml:space="preserve">T21</t>
  </si>
  <si>
    <t xml:space="preserve">L'admin lit le compte d'un autre joueur</t>
  </si>
  <si>
    <t xml:space="preserve">GET /api/v1/players/{id} (token admin)</t>
  </si>
  <si>
    <t xml:space="preserve">Infos du joueur</t>
  </si>
  <si>
    <t xml:space="preserve">infos du compte id 3 (rania_test2), sans mot de passe</t>
  </si>
  <si>
    <t xml:space="preserve">capture : T21_admin_lit_compte_200.png</t>
  </si>
  <si>
    <t xml:space="preserve">T22</t>
  </si>
  <si>
    <t xml:space="preserve">Un joueur supprime son propre compte</t>
  </si>
  <si>
    <t xml:space="preserve">DELETE /api/v1/players/{son id} (token joueur)</t>
  </si>
  <si>
    <t xml:space="preserve">Compte supprimé</t>
  </si>
  <si>
    <t xml:space="preserve">compte supprimé par son propriétaire, réponse vide</t>
  </si>
  <si>
    <t xml:space="preserve">capture : T22_supprimer_propre_compte_204.png. Vérification : connexion ensuite refusée (401)</t>
  </si>
  <si>
    <t xml:space="preserve">T23</t>
  </si>
  <si>
    <t xml:space="preserve">Supprimer un joueur inexistant</t>
  </si>
  <si>
    <t xml:space="preserve">DELETE /api/v1/players/99999 (token admin)</t>
  </si>
  <si>
    <t xml:space="preserve">« Joueur non trouvé »</t>
  </si>
  <si>
    <t xml:space="preserve">« Joueur non trouvé », pas d'erreur interne</t>
  </si>
  <si>
    <t xml:space="preserve">capture : T23_supprimer_inexistant_404.png. Token admin</t>
  </si>
  <si>
    <t xml:space="preserve">T24</t>
  </si>
  <si>
    <t xml:space="preserve">Admin</t>
  </si>
  <si>
    <t xml:space="preserve">Le compte admin existe au premier démarrage</t>
  </si>
  <si>
    <t xml:space="preserve">POST /api/v1/auth/login (compte admin)</t>
  </si>
  <si>
    <t xml:space="preserve">Connexion admin réussie</t>
  </si>
  <si>
    <t xml:space="preserve">token renvoyé, id 1, pseudo Admin, rôle ADMIN</t>
  </si>
  <si>
    <t xml:space="preserve">capture : T24_login_admin_200.png</t>
  </si>
  <si>
    <t xml:space="preserve">T25</t>
  </si>
  <si>
    <t xml:space="preserve">L'admin liste les joueurs</t>
  </si>
  <si>
    <t xml:space="preserve">GET /api/v1/players (token admin)</t>
  </si>
  <si>
    <t xml:space="preserve">Liste des joueurs</t>
  </si>
  <si>
    <t xml:space="preserve">liste de 3 joueurs (id 1, 2, 3), sans mot de passe</t>
  </si>
  <si>
    <t xml:space="preserve">capture : T25_liste_admin_200.png</t>
  </si>
  <si>
    <t xml:space="preserve">T26</t>
  </si>
  <si>
    <t xml:space="preserve">Bannissement</t>
  </si>
  <si>
    <t xml:space="preserve">L'admin bannit un joueur</t>
  </si>
  <si>
    <t xml:space="preserve">PUT /api/v1/players/{id}/ban?banned=true (token admin)</t>
  </si>
  <si>
    <t xml:space="preserve">Joueur marqué comme banni</t>
  </si>
  <si>
    <t xml:space="preserve">joueur 3 banni (banned true), par l'admin</t>
  </si>
  <si>
    <t xml:space="preserve">capture : T26_admin_banne_200.png. Token admin</t>
  </si>
  <si>
    <t xml:space="preserve">T27</t>
  </si>
  <si>
    <t xml:space="preserve">Un joueur normal tente de bannir quelqu'un</t>
  </si>
  <si>
    <t xml:space="preserve">PUT /api/v1/players/{id}/ban?banned=true (token joueur)</t>
  </si>
  <si>
    <t xml:space="preserve">403 Forbidden : un joueur ne peut pas bannir. Le joueur 3 n'a pas été banni (banned = false)</t>
  </si>
  <si>
    <t xml:space="preserve">Retest 29/10/2026 : 401 devenu 403, joueur 3 non banni (A03 corrigée). Capture : T27_ban_par_joueur_403_retest.png</t>
  </si>
  <si>
    <t xml:space="preserve">T28</t>
  </si>
  <si>
    <t xml:space="preserve">Bannir sans être connecté</t>
  </si>
  <si>
    <t xml:space="preserve">PUT /api/v1/players/{id}/ban?banned=true (sans token)</t>
  </si>
  <si>
    <t xml:space="preserve">bannir sans token refusé, compte non banni</t>
  </si>
  <si>
    <t xml:space="preserve">capture : T28_bannir_sans_token_401.png</t>
  </si>
  <si>
    <t xml:space="preserve">T29</t>
  </si>
  <si>
    <t xml:space="preserve">Un joueur banni tente de se connecter</t>
  </si>
  <si>
    <t xml:space="preserve">POST /api/v1/auth/login (compte banni)</t>
  </si>
  <si>
    <t xml:space="preserve">« Ce compte a été banni »</t>
  </si>
  <si>
    <t xml:space="preserve">« Ce compte a été banni », pas de token</t>
  </si>
  <si>
    <t xml:space="preserve">capture : T29_banni_se_connecte_403.png</t>
  </si>
  <si>
    <t xml:space="preserve">T30</t>
  </si>
  <si>
    <t xml:space="preserve">Un joueur banni réutilise un ancien token</t>
  </si>
  <si>
    <t xml:space="preserve">GET /api/v1/players/{son id} (token d'avant le ban)</t>
  </si>
  <si>
    <t xml:space="preserve">200 avant le ban, 403 après le ban avec le même token : le joueur banni est refusé</t>
  </si>
  <si>
    <t xml:space="preserve">Retest 29/10/2026 sur develop. Anomalie A04 corrigée (401 devenu 403). Captures : T30_controle_token_valide_200_retest.png, T30_etape_A_ban_admin_200_retest.png, T30_banni_ancien_token_403_retest.png</t>
  </si>
  <si>
    <t xml:space="preserve">T31</t>
  </si>
  <si>
    <t xml:space="preserve">L'admin débannit un joueur</t>
  </si>
  <si>
    <t xml:space="preserve">PUT /api/v1/players/{id}/ban?banned=false (token admin)</t>
  </si>
  <si>
    <t xml:space="preserve">Joueur de nouveau actif</t>
  </si>
  <si>
    <t xml:space="preserve">joueur 3 débanni (banned false), par l'admin</t>
  </si>
  <si>
    <t xml:space="preserve">capture : T31_admin_debanne_200.png. Token admin</t>
  </si>
  <si>
    <t xml:space="preserve">T32</t>
  </si>
  <si>
    <t xml:space="preserve">Le joueur débanni peut se reconnecter</t>
  </si>
  <si>
    <t xml:space="preserve">POST /api/v1/auth/login (compte débanni)</t>
  </si>
  <si>
    <t xml:space="preserve">Connexion réussie</t>
  </si>
  <si>
    <t xml:space="preserve">token renvoyé, id 3, pseudo rania_test2, rôle USER</t>
  </si>
  <si>
    <t xml:space="preserve">capture : T32_debanni_se_connecte_200.png</t>
  </si>
  <si>
    <t xml:space="preserve">T33</t>
  </si>
  <si>
    <t xml:space="preserve">Bannir un joueur inexistant</t>
  </si>
  <si>
    <t xml:space="preserve">PUT /api/v1/players/99999/ban?banned=true (token admin)</t>
  </si>
  <si>
    <t xml:space="preserve">Erreur « joueur introuvable »</t>
  </si>
  <si>
    <t xml:space="preserve">capture : T33_bannir_inexistant_404.png. Token admin</t>
  </si>
  <si>
    <t xml:space="preserve">T34</t>
  </si>
  <si>
    <t xml:space="preserve">Infra</t>
  </si>
  <si>
    <t xml:space="preserve">Les 4 services répondent</t>
  </si>
  <si>
    <t xml:space="preserve">GET http://localhost:8081 à 8084 /ping</t>
  </si>
  <si>
    <t xml:space="preserve">Réponse OK sur chaque service</t>
  </si>
  <si>
    <t xml:space="preserve">Les 4 services répondent OK (ports 8081 à 8084)</t>
  </si>
  <si>
    <t xml:space="preserve">T35</t>
  </si>
  <si>
    <t xml:space="preserve">Les données persistent après redémarrage</t>
  </si>
  <si>
    <t xml:space="preserve">docker compose down puis up, puis login</t>
  </si>
  <si>
    <t xml:space="preserve">Le compte existe toujours</t>
  </si>
  <si>
    <t xml:space="preserve">Après docker compose down puis up (sans -v), connexion de rania_test réussie, pseudo rania_modifie conservé</t>
  </si>
  <si>
    <t xml:space="preserve">Ne pas utiliser « down -v » (efface la base) capture : T35_persistance_apres_redemarrage_200.png</t>
  </si>
  <si>
    <t xml:space="preserve">T36</t>
  </si>
  <si>
    <t xml:space="preserve">Inscription valide</t>
  </si>
  <si>
    <t xml:space="preserve">Front : Remplir pseudo, email, mot de passe valides puis valider</t>
  </si>
  <si>
    <t xml:space="preserve">Compte créé, message de succès ou redirection vers la connexion</t>
  </si>
  <si>
    <t xml:space="preserve">—</t>
  </si>
  <si>
    <t xml:space="preserve">Message « Compte créé. Tu peux te connecter. » affiché, sans erreur</t>
  </si>
  <si>
    <t xml:space="preserve">capture : T36_front_inscription_ok.png</t>
  </si>
  <si>
    <t xml:space="preserve">T37</t>
  </si>
  <si>
    <t xml:space="preserve">Email invalide</t>
  </si>
  <si>
    <t xml:space="preserve">Front : Saisir « abc » dans le champ email puis valider</t>
  </si>
  <si>
    <t xml:space="preserve">Message d'erreur clair sur l'email</t>
  </si>
  <si>
    <t xml:space="preserve">Message « Format d'email invalide » affiché, compte non créé</t>
  </si>
  <si>
    <t xml:space="preserve">capture : T37_front_email_invalide.png</t>
  </si>
  <si>
    <t xml:space="preserve">T38</t>
  </si>
  <si>
    <t xml:space="preserve">Mot de passe trop court</t>
  </si>
  <si>
    <t xml:space="preserve">Front : Saisir un mot de passe de 5 caractères</t>
  </si>
  <si>
    <t xml:space="preserve">Message : 6 caractères minimum</t>
  </si>
  <si>
    <t xml:space="preserve">Message « Le mot de passe doit contenir au moins 6 caractères » affiché, compte non créé</t>
  </si>
  <si>
    <t xml:space="preserve">capture : T38_front_mdp_court.png</t>
  </si>
  <si>
    <t xml:space="preserve">T39</t>
  </si>
  <si>
    <t xml:space="preserve">Champs vides</t>
  </si>
  <si>
    <t xml:space="preserve">Front : Valider le formulaire sans rien remplir</t>
  </si>
  <si>
    <t xml:space="preserve">Messages sur les champs obligatoires</t>
  </si>
  <si>
    <t xml:space="preserve">Un message sous chaque champ : « Le pseudo est obligatoire », « L'email est obligatoire », « Le mot de passe est obligatoire », « Confirme ton mot de passe ». Deux messages cumulés sous le mot de passe.</t>
  </si>
  <si>
    <t xml:space="preserve">capture : T39_front_champs_vides.png. Détail : doublon de messages sous le mot de passe (anomalie A05, issue #20).</t>
  </si>
  <si>
    <t xml:space="preserve">T40</t>
  </si>
  <si>
    <t xml:space="preserve">Email déjà utilisé</t>
  </si>
  <si>
    <t xml:space="preserve">Front : S'inscrire avec un email déjà existant</t>
  </si>
  <si>
    <t xml:space="preserve">Message « Cet email est déjà utilisé » affiché, compte non créé</t>
  </si>
  <si>
    <t xml:space="preserve">capture : T40_front_email_deja_utilise.png</t>
  </si>
  <si>
    <t xml:space="preserve">T41</t>
  </si>
  <si>
    <t xml:space="preserve">Confirmation différente du mot de passe</t>
  </si>
  <si>
    <t xml:space="preserve">Front : Saisir « Motdepasse123 » dans le mot de passe et « Autre123 » dans la confirmation, puis valider</t>
  </si>
  <si>
    <t xml:space="preserve">Message indiquant que les mots de passe ne correspondent pas, compte non créé</t>
  </si>
  <si>
    <t xml:space="preserve">Message « Les mots de passe ne correspondent pas» affiché, compte non créé</t>
  </si>
  <si>
    <t xml:space="preserve">capture : T41_front_confirmation_differente.png</t>
  </si>
  <si>
    <t xml:space="preserve">T42</t>
  </si>
  <si>
    <t xml:space="preserve">Connexion valide</t>
  </si>
  <si>
    <t xml:space="preserve">Front : Saisir des identifiants corrects puis valider</t>
  </si>
  <si>
    <t xml:space="preserve">Accès au tableau de bord</t>
  </si>
  <si>
    <t xml:space="preserve">Arrivée sur le tableau de bord, pseudo rania_front affiché</t>
  </si>
  <si>
    <t xml:space="preserve">capture : T42_front_connexion_ok.png</t>
  </si>
  <si>
    <t xml:space="preserve">T43</t>
  </si>
  <si>
    <t xml:space="preserve">Mauvais mot de passe</t>
  </si>
  <si>
    <t xml:space="preserve">Front : Saisir un mauvais mot de passe</t>
  </si>
  <si>
    <t xml:space="preserve">Message d'erreur clair, pas de page blanche</t>
  </si>
  <si>
    <t xml:space="preserve">Message « Email ou mot de passe incorrect » affiché, pas d'accès au tableau de bord</t>
  </si>
  <si>
    <t xml:space="preserve">capture : T43_front_mauvais_mdp.png</t>
  </si>
  <si>
    <t xml:space="preserve">T44</t>
  </si>
  <si>
    <t xml:space="preserve">Compte banni</t>
  </si>
  <si>
    <t xml:space="preserve">Front : Se connecter avec un compte banni</t>
  </si>
  <si>
    <t xml:space="preserve">Message indiquant que le compte est banni</t>
  </si>
  <si>
    <t xml:space="preserve">La tentative de connexion avec le compte banni rania_test2@skull.fr échoue. Le compte est banni et l’accès est refusé.</t>
  </si>
  <si>
    <t xml:space="preserve">capture : T44_front_compte_banni.png</t>
  </si>
  <si>
    <t xml:space="preserve">T45</t>
  </si>
  <si>
    <t xml:space="preserve">Tableau de bord</t>
  </si>
  <si>
    <t xml:space="preserve">Affichage connecté</t>
  </si>
  <si>
    <t xml:space="preserve">Front : Ouvrir le tableau de bord en étant connecté</t>
  </si>
  <si>
    <t xml:space="preserve">Pseudo affiché, bouton de déconnexion visible</t>
  </si>
  <si>
    <t xml:space="preserve">Tableau de bord affiché : pseudo rania_front en haut à droite, bouton « Se déconnecter » visible, message « Salut, rania_front ». Statistiques, parties ouvertes et historique en données simulées (indiqué sur la page).</t>
  </si>
  <si>
    <t xml:space="preserve">capture : T45_front_dashboard.png</t>
  </si>
  <si>
    <t xml:space="preserve">T46</t>
  </si>
  <si>
    <t xml:space="preserve">Accès sans connexion</t>
  </si>
  <si>
    <t xml:space="preserve">Front : Ouvrir l'adresse du tableau de bord sans être connecté</t>
  </si>
  <si>
    <t xml:space="preserve">Redirection vers la page de connexion</t>
  </si>
  <si>
    <t xml:space="preserve">capture : T46_front_dashboard_sans_connexion.png</t>
  </si>
  <si>
    <t xml:space="preserve">T47</t>
  </si>
  <si>
    <t xml:space="preserve">Déconnexion</t>
  </si>
  <si>
    <t xml:space="preserve">Front : Cliquer sur le bouton de déconnexion</t>
  </si>
  <si>
    <t xml:space="preserve">Retour à la page de connexion</t>
  </si>
  <si>
    <t xml:space="preserve">retour à la page d’accueil, sans ton pseudo en haut</t>
  </si>
  <si>
    <t xml:space="preserve">capture : T47_front_deconnexion.png</t>
  </si>
  <si>
    <t xml:space="preserve">T48</t>
  </si>
  <si>
    <t xml:space="preserve">Retour arrière après déconnexion</t>
  </si>
  <si>
    <t xml:space="preserve">Front : Revenir en arrière dans le navigateur après la déconnexion</t>
  </si>
  <si>
    <t xml:space="preserve">Le tableau de bord ne se réaffiche pas</t>
  </si>
  <si>
    <t xml:space="preserve">Après la déconnexion, le bouton « Précédent » de Safari réaffiche temporairement le Dashboard du compte. Lors d’une interaction avec la page, redirection vers la page de connexion.</t>
  </si>
  <si>
    <t xml:space="preserve">capture : T48_front_retour_arriere.png. Voir anomalie A06 (issue #21).</t>
  </si>
  <si>
    <t xml:space="preserve">T49</t>
  </si>
  <si>
    <t xml:space="preserve">Administration</t>
  </si>
  <si>
    <t xml:space="preserve">Page admin avec un joueur</t>
  </si>
  <si>
    <t xml:space="preserve">Front : Ouvrir la page admin avec un compte joueur</t>
  </si>
  <si>
    <t xml:space="preserve">Accès à /admin refusé avec un compte joueur : message « Cette page est réservée aux administrateurs.</t>
  </si>
  <si>
    <t xml:space="preserve">capture : T49_front_admin_joueur.png</t>
  </si>
  <si>
    <t xml:space="preserve">T50</t>
  </si>
  <si>
    <t xml:space="preserve">Bannir un joueur</t>
  </si>
  <si>
    <t xml:space="preserve">Front : Avec l'admin, bannir un joueur depuis la page admin</t>
  </si>
  <si>
    <t xml:space="preserve">Joueur banni, confirmation affichée</t>
  </si>
  <si>
    <t xml:space="preserve">Le joueur rania_test2 a été banni depuis la page d’administration. Confirmation du bannissement affichée.</t>
  </si>
  <si>
    <t xml:space="preserve">capture : T50_front_admin_bannir.png</t>
  </si>
  <si>
    <t xml:space="preserve">T51</t>
  </si>
  <si>
    <t xml:space="preserve">Débannir un joueur</t>
  </si>
  <si>
    <t xml:space="preserve">Front : Avec l'admin, débannir ce joueur</t>
  </si>
  <si>
    <t xml:space="preserve">Joueur débanni, confirmation affichée</t>
  </si>
  <si>
    <t xml:space="preserve">Le joueur rania_test2 a été débanni depuis la page d’administration. Le bannissement a été retiré.</t>
  </si>
  <si>
    <t xml:space="preserve">capture : T51_front_admin_debannir.png</t>
  </si>
  <si>
    <t xml:space="preserve">Synthèse des tests – Lot 1</t>
  </si>
  <si>
    <t xml:space="preserve">Nombre</t>
  </si>
  <si>
    <t xml:space="preserve">Part</t>
  </si>
  <si>
    <t xml:space="preserve">KO</t>
  </si>
  <si>
    <t xml:space="preserve">Bloqué</t>
  </si>
  <si>
    <t xml:space="preserve">À faire</t>
  </si>
  <si>
    <t xml:space="preserve">Total</t>
  </si>
  <si>
    <t xml:space="preserve">Par domaine</t>
  </si>
  <si>
    <t xml:space="preserve">N°</t>
  </si>
  <si>
    <t xml:space="preserve">Test concerné</t>
  </si>
  <si>
    <t xml:space="preserve">Description du bug</t>
  </si>
  <si>
    <t xml:space="preserve">Gravité</t>
  </si>
  <si>
    <t xml:space="preserve">Service / responsable</t>
  </si>
  <si>
    <t xml:space="preserve">Lien issue GitHub</t>
  </si>
  <si>
    <t xml:space="preserve">Date détection</t>
  </si>
  <si>
    <t xml:space="preserve">Date correction</t>
  </si>
  <si>
    <t xml:space="preserve">A01</t>
  </si>
  <si>
    <t xml:space="preserve">T03/ T04/T05/T09</t>
  </si>
  <si>
    <t xml:space="preserve">Le titre de l'erreur de validation contient une faute : « Erruer » au lieu de « Erreur »</t>
  </si>
  <si>
    <t xml:space="preserve">Faible</t>
  </si>
  <si>
    <t xml:space="preserve">PlayerService / Maxime</t>
  </si>
  <si>
    <t xml:space="preserve">https://github.com/Rayanxdn/Skull_Game_M1S1/issues/14</t>
  </si>
  <si>
    <t xml:space="preserve">Corrigé</t>
  </si>
  <si>
    <t xml:space="preserve">A02</t>
  </si>
  <si>
    <t xml:space="preserve">GET /api/v1/players avec un token joueur valide renvoie 401 au lieu de 403. Le même token donne 200 sur GET /players/2.</t>
  </si>
  <si>
    <t xml:space="preserve">Moyenne</t>
  </si>
  <si>
    <t xml:space="preserve">PlayerService (sécurité, à confirmer)</t>
  </si>
  <si>
    <t xml:space="preserve">https://github.com/Rayanxdn/Skull_Game_M1S1/issues/15</t>
  </si>
  <si>
    <t xml:space="preserve">A03</t>
  </si>
  <si>
    <t xml:space="preserve">Même comportement de T20 sur PUT /players/{id}/ban avec un token joueur valide.même comportement que A02</t>
  </si>
  <si>
    <t xml:space="preserve">https://github.com/Rayanxdn/Skull_Game_M1S1/issues/16</t>
  </si>
  <si>
    <t xml:space="preserve">A04</t>
  </si>
  <si>
    <t xml:space="preserve">Un joueur banni utilisant un token valide reçoit 401 au lieu de 403.même comportement que A02</t>
  </si>
  <si>
    <t xml:space="preserve">https://github.com/Rayanxdn/Skull_Game_M1S1/issues/18</t>
  </si>
  <si>
    <t xml:space="preserve">A05</t>
  </si>
  <si>
    <t xml:space="preserve">Page d'inscription, formulaire vide : deux messages s'affichent en même temps sous le champ mot de passe (« Le mot de passe doit contenir au moins 6 caractères » et « Le mot de passe est obligatoire »). Le premier est redondant quand le champ est vide.</t>
  </si>
  <si>
    <t xml:space="preserve">Front</t>
  </si>
  <si>
    <t xml:space="preserve">https://github.com/Rayanxdn/Skull_Game_M1S1/issues/20</t>
  </si>
  <si>
    <t xml:space="preserve">Ouvert</t>
  </si>
  <si>
    <t xml:space="preserve">A06</t>
  </si>
  <si>
    <t xml:space="preserve">Le tableau de bord réapparait avec le pseudo lors du retour en arrière après déconnexion</t>
  </si>
  <si>
    <t xml:space="preserve">https://github.com/Rayanxdn/Skull_Game_M1S1/issues/21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</si>
</sst>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d/m/yyyy"/>
    <numFmt numFmtId="168" formatCode="0%"/>
  </numFmts>
  <fonts count="1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"/>
    </font>
    <font>
      <sz val="9"/>
      <name val="Arial"/>
      <family val="0"/>
      <charset val="1"/>
    </font>
    <font>
      <sz val="8"/>
      <name val="Arial"/>
      <family val="0"/>
      <charset val="1"/>
    </font>
    <font>
      <sz val="9"/>
      <name val="Courier New"/>
      <family val="0"/>
      <charset val="1"/>
    </font>
    <font>
      <sz val="9"/>
      <name val="Times New Roman"/>
      <family val="0"/>
      <charset val="1"/>
    </font>
    <font>
      <sz val="10"/>
      <name val="Courier New"/>
      <family val="0"/>
      <charset val="1"/>
    </font>
    <font>
      <sz val="8"/>
      <name val="Courier New"/>
      <family val="0"/>
      <charset val="1"/>
    </font>
    <font>
      <sz val="10"/>
      <name val="Times New Roman"/>
      <family val="0"/>
      <charset val="1"/>
    </font>
    <font>
      <sz val="8"/>
      <name val="Times New Roman"/>
      <family val="0"/>
      <charset val="1"/>
    </font>
    <font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FFFF"/>
        </patternFill>
      </fill>
    </dxf>
    <dxf>
      <fill>
        <patternFill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ithub.com/Rayanxdn/Skull_Game_M1S1/issues/14" TargetMode="External"/><Relationship Id="rId2" Type="http://schemas.openxmlformats.org/officeDocument/2006/relationships/hyperlink" Target="https://github.com/Rayanxdn/Skull_Game_M1S1/issues/15" TargetMode="External"/><Relationship Id="rId3" Type="http://schemas.openxmlformats.org/officeDocument/2006/relationships/hyperlink" Target="https://github.com/Rayanxdn/Skull_Game_M1S1/issues/16" TargetMode="External"/><Relationship Id="rId4" Type="http://schemas.openxmlformats.org/officeDocument/2006/relationships/hyperlink" Target="https://github.com/Rayanxdn/Skull_Game_M1S1/issues/18" TargetMode="External"/><Relationship Id="rId5" Type="http://schemas.openxmlformats.org/officeDocument/2006/relationships/hyperlink" Target="https://github.com/Rayanxdn/Skull_Game_M1S1/issues/20" TargetMode="External"/><Relationship Id="rId6" Type="http://schemas.openxmlformats.org/officeDocument/2006/relationships/hyperlink" Target="https://github.com/Rayanxdn/Skull_Game_M1S1/issues/2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4" min="3" style="1" width="42"/>
    <col collapsed="false" customWidth="true" hidden="false" outlineLevel="0" max="5" min="5" style="1" width="34"/>
    <col collapsed="false" customWidth="true" hidden="false" outlineLevel="0" max="6" min="6" style="1" width="11"/>
    <col collapsed="false" customWidth="true" hidden="false" outlineLevel="0" max="7" min="7" style="1" width="30"/>
    <col collapsed="false" customWidth="true" hidden="false" outlineLevel="0" max="9" min="8" style="1" width="11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28"/>
    <col collapsed="false" customWidth="false" hidden="false" outlineLevel="0" max="16384" min="13" style="1" width="8.68"/>
  </cols>
  <sheetData>
    <row r="1" customFormat="false" ht="16.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2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2.5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customFormat="false" ht="24.75" hidden="false" customHeight="true" outlineLevel="0" collapsed="false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6" t="n">
        <v>201</v>
      </c>
      <c r="G4" s="5" t="s">
        <v>18</v>
      </c>
      <c r="H4" s="6" t="n">
        <v>201</v>
      </c>
      <c r="I4" s="5" t="s">
        <v>19</v>
      </c>
      <c r="J4" s="5" t="s">
        <v>20</v>
      </c>
      <c r="K4" s="7" t="n">
        <v>46321</v>
      </c>
      <c r="L4" s="8" t="s">
        <v>21</v>
      </c>
    </row>
    <row r="5" customFormat="false" ht="11.25" hidden="false" customHeight="true" outlineLevel="0" collapsed="false">
      <c r="A5" s="5" t="s">
        <v>22</v>
      </c>
      <c r="B5" s="5" t="s">
        <v>14</v>
      </c>
      <c r="C5" s="5" t="s">
        <v>23</v>
      </c>
      <c r="D5" s="5" t="s">
        <v>24</v>
      </c>
      <c r="E5" s="5" t="s">
        <v>25</v>
      </c>
      <c r="F5" s="6" t="n">
        <v>409</v>
      </c>
      <c r="G5" s="5" t="s">
        <v>26</v>
      </c>
      <c r="H5" s="6" t="n">
        <v>409</v>
      </c>
      <c r="I5" s="5" t="s">
        <v>19</v>
      </c>
      <c r="J5" s="5" t="s">
        <v>20</v>
      </c>
      <c r="K5" s="7" t="n">
        <v>46321</v>
      </c>
      <c r="L5" s="5" t="s">
        <v>27</v>
      </c>
    </row>
    <row r="6" customFormat="false" ht="24.75" hidden="false" customHeight="true" outlineLevel="0" collapsed="false">
      <c r="A6" s="5" t="s">
        <v>28</v>
      </c>
      <c r="B6" s="5" t="s">
        <v>14</v>
      </c>
      <c r="C6" s="5" t="s">
        <v>29</v>
      </c>
      <c r="D6" s="5" t="s">
        <v>30</v>
      </c>
      <c r="E6" s="5" t="s">
        <v>31</v>
      </c>
      <c r="F6" s="6" t="n">
        <v>400</v>
      </c>
      <c r="G6" s="9" t="s">
        <v>32</v>
      </c>
      <c r="H6" s="6" t="n">
        <v>400</v>
      </c>
      <c r="I6" s="5" t="s">
        <v>19</v>
      </c>
      <c r="J6" s="5" t="s">
        <v>20</v>
      </c>
      <c r="K6" s="7" t="n">
        <v>46321</v>
      </c>
      <c r="L6" s="8" t="s">
        <v>33</v>
      </c>
    </row>
    <row r="7" customFormat="false" ht="27" hidden="false" customHeight="true" outlineLevel="0" collapsed="false">
      <c r="A7" s="5" t="s">
        <v>34</v>
      </c>
      <c r="B7" s="5" t="s">
        <v>14</v>
      </c>
      <c r="C7" s="5" t="s">
        <v>35</v>
      </c>
      <c r="D7" s="5" t="s">
        <v>36</v>
      </c>
      <c r="E7" s="5" t="s">
        <v>31</v>
      </c>
      <c r="F7" s="6" t="n">
        <v>400</v>
      </c>
      <c r="G7" s="10" t="s">
        <v>37</v>
      </c>
      <c r="H7" s="6" t="n">
        <v>400</v>
      </c>
      <c r="I7" s="5" t="s">
        <v>19</v>
      </c>
      <c r="J7" s="5" t="s">
        <v>20</v>
      </c>
      <c r="K7" s="7" t="n">
        <v>46321</v>
      </c>
      <c r="L7" s="11" t="s">
        <v>38</v>
      </c>
    </row>
    <row r="8" customFormat="false" ht="27" hidden="false" customHeight="true" outlineLevel="0" collapsed="false">
      <c r="A8" s="5" t="s">
        <v>39</v>
      </c>
      <c r="B8" s="5" t="s">
        <v>14</v>
      </c>
      <c r="C8" s="5" t="s">
        <v>40</v>
      </c>
      <c r="D8" s="5" t="s">
        <v>41</v>
      </c>
      <c r="E8" s="5" t="s">
        <v>31</v>
      </c>
      <c r="F8" s="6" t="n">
        <v>400</v>
      </c>
      <c r="G8" s="10" t="s">
        <v>42</v>
      </c>
      <c r="H8" s="6" t="n">
        <v>400</v>
      </c>
      <c r="I8" s="5" t="s">
        <v>19</v>
      </c>
      <c r="J8" s="5" t="s">
        <v>20</v>
      </c>
      <c r="K8" s="7" t="n">
        <v>46321</v>
      </c>
      <c r="L8" s="11" t="s">
        <v>43</v>
      </c>
    </row>
    <row r="9" customFormat="false" ht="27" hidden="false" customHeight="true" outlineLevel="0" collapsed="false">
      <c r="A9" s="5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6" t="n">
        <v>200</v>
      </c>
      <c r="G9" s="10" t="s">
        <v>49</v>
      </c>
      <c r="H9" s="6" t="n">
        <v>200</v>
      </c>
      <c r="I9" s="5" t="s">
        <v>19</v>
      </c>
      <c r="J9" s="5" t="s">
        <v>20</v>
      </c>
      <c r="K9" s="7" t="n">
        <v>46321</v>
      </c>
      <c r="L9" s="5" t="s">
        <v>50</v>
      </c>
    </row>
    <row r="10" customFormat="false" ht="27" hidden="false" customHeight="true" outlineLevel="0" collapsed="false">
      <c r="A10" s="5" t="s">
        <v>51</v>
      </c>
      <c r="B10" s="5" t="s">
        <v>45</v>
      </c>
      <c r="C10" s="5" t="s">
        <v>52</v>
      </c>
      <c r="D10" s="5" t="s">
        <v>53</v>
      </c>
      <c r="E10" s="5" t="s">
        <v>54</v>
      </c>
      <c r="F10" s="6" t="n">
        <v>401</v>
      </c>
      <c r="G10" s="10" t="s">
        <v>54</v>
      </c>
      <c r="H10" s="6" t="n">
        <v>401</v>
      </c>
      <c r="I10" s="5" t="s">
        <v>19</v>
      </c>
      <c r="J10" s="5" t="s">
        <v>20</v>
      </c>
      <c r="K10" s="7" t="n">
        <v>46321</v>
      </c>
      <c r="L10" s="5" t="s">
        <v>55</v>
      </c>
    </row>
    <row r="11" customFormat="false" ht="22.5" hidden="false" customHeight="true" outlineLevel="0" collapsed="false">
      <c r="A11" s="5" t="s">
        <v>56</v>
      </c>
      <c r="B11" s="5" t="s">
        <v>45</v>
      </c>
      <c r="C11" s="5" t="s">
        <v>57</v>
      </c>
      <c r="D11" s="5" t="s">
        <v>58</v>
      </c>
      <c r="E11" s="5" t="s">
        <v>54</v>
      </c>
      <c r="F11" s="6" t="n">
        <v>401</v>
      </c>
      <c r="G11" s="11" t="s">
        <v>59</v>
      </c>
      <c r="H11" s="6" t="n">
        <v>401</v>
      </c>
      <c r="I11" s="5" t="s">
        <v>19</v>
      </c>
      <c r="J11" s="5" t="s">
        <v>20</v>
      </c>
      <c r="K11" s="7" t="n">
        <v>46321</v>
      </c>
      <c r="L11" s="5" t="s">
        <v>60</v>
      </c>
    </row>
    <row r="12" customFormat="false" ht="24.75" hidden="false" customHeight="true" outlineLevel="0" collapsed="false">
      <c r="A12" s="5" t="s">
        <v>61</v>
      </c>
      <c r="B12" s="5" t="s">
        <v>45</v>
      </c>
      <c r="C12" s="5" t="s">
        <v>62</v>
      </c>
      <c r="D12" s="5" t="s">
        <v>63</v>
      </c>
      <c r="E12" s="5" t="s">
        <v>31</v>
      </c>
      <c r="F12" s="6" t="n">
        <v>400</v>
      </c>
      <c r="G12" s="12" t="s">
        <v>64</v>
      </c>
      <c r="H12" s="6" t="n">
        <v>400</v>
      </c>
      <c r="I12" s="5" t="s">
        <v>19</v>
      </c>
      <c r="J12" s="5" t="s">
        <v>20</v>
      </c>
      <c r="K12" s="7" t="n">
        <v>46321</v>
      </c>
      <c r="L12" s="11" t="s">
        <v>65</v>
      </c>
    </row>
    <row r="13" customFormat="false" ht="36.75" hidden="false" customHeight="true" outlineLevel="0" collapsed="false">
      <c r="A13" s="5" t="s">
        <v>66</v>
      </c>
      <c r="B13" s="5" t="s">
        <v>67</v>
      </c>
      <c r="C13" s="5" t="s">
        <v>68</v>
      </c>
      <c r="D13" s="5" t="s">
        <v>69</v>
      </c>
      <c r="E13" s="5" t="s">
        <v>70</v>
      </c>
      <c r="F13" s="6" t="n">
        <v>401</v>
      </c>
      <c r="G13" s="5" t="s">
        <v>71</v>
      </c>
      <c r="H13" s="6" t="n">
        <v>401</v>
      </c>
      <c r="I13" s="5" t="s">
        <v>19</v>
      </c>
      <c r="J13" s="5" t="s">
        <v>20</v>
      </c>
      <c r="K13" s="7" t="n">
        <v>46321</v>
      </c>
      <c r="L13" s="11" t="s">
        <v>72</v>
      </c>
    </row>
    <row r="14" customFormat="false" ht="22.5" hidden="false" customHeight="true" outlineLevel="0" collapsed="false">
      <c r="A14" s="5" t="s">
        <v>73</v>
      </c>
      <c r="B14" s="5" t="s">
        <v>67</v>
      </c>
      <c r="C14" s="5" t="s">
        <v>74</v>
      </c>
      <c r="D14" s="5" t="s">
        <v>75</v>
      </c>
      <c r="E14" s="5" t="s">
        <v>70</v>
      </c>
      <c r="F14" s="6" t="n">
        <v>401</v>
      </c>
      <c r="G14" s="11" t="s">
        <v>76</v>
      </c>
      <c r="H14" s="6" t="n">
        <v>401</v>
      </c>
      <c r="I14" s="5" t="s">
        <v>19</v>
      </c>
      <c r="J14" s="5" t="s">
        <v>20</v>
      </c>
      <c r="K14" s="7" t="n">
        <v>46321</v>
      </c>
      <c r="L14" s="11" t="s">
        <v>77</v>
      </c>
    </row>
    <row r="15" customFormat="false" ht="24.75" hidden="false" customHeight="true" outlineLevel="0" collapsed="false">
      <c r="A15" s="5" t="s">
        <v>78</v>
      </c>
      <c r="B15" s="5" t="s">
        <v>67</v>
      </c>
      <c r="C15" s="5" t="s">
        <v>79</v>
      </c>
      <c r="D15" s="5" t="s">
        <v>80</v>
      </c>
      <c r="E15" s="5" t="s">
        <v>81</v>
      </c>
      <c r="F15" s="6" t="n">
        <v>200</v>
      </c>
      <c r="G15" s="8" t="s">
        <v>82</v>
      </c>
      <c r="H15" s="6" t="n">
        <v>200</v>
      </c>
      <c r="I15" s="5" t="s">
        <v>19</v>
      </c>
      <c r="J15" s="5" t="s">
        <v>20</v>
      </c>
      <c r="K15" s="7" t="n">
        <v>46321</v>
      </c>
      <c r="L15" s="5" t="s">
        <v>83</v>
      </c>
    </row>
    <row r="16" customFormat="false" ht="33" hidden="false" customHeight="true" outlineLevel="0" collapsed="false">
      <c r="A16" s="5" t="s">
        <v>84</v>
      </c>
      <c r="B16" s="5" t="s">
        <v>67</v>
      </c>
      <c r="C16" s="5" t="s">
        <v>85</v>
      </c>
      <c r="D16" s="5" t="s">
        <v>86</v>
      </c>
      <c r="E16" s="5" t="s">
        <v>70</v>
      </c>
      <c r="F16" s="6" t="n">
        <v>401</v>
      </c>
      <c r="G16" s="11" t="s">
        <v>87</v>
      </c>
      <c r="H16" s="6" t="n">
        <v>401</v>
      </c>
      <c r="I16" s="5" t="s">
        <v>19</v>
      </c>
      <c r="J16" s="5" t="s">
        <v>20</v>
      </c>
      <c r="K16" s="7" t="n">
        <v>46321</v>
      </c>
      <c r="L16" s="5" t="s">
        <v>88</v>
      </c>
    </row>
    <row r="17" customFormat="false" ht="22.5" hidden="false" customHeight="true" outlineLevel="0" collapsed="false">
      <c r="A17" s="5" t="s">
        <v>89</v>
      </c>
      <c r="B17" s="5" t="s">
        <v>67</v>
      </c>
      <c r="C17" s="5" t="s">
        <v>90</v>
      </c>
      <c r="D17" s="5" t="s">
        <v>91</v>
      </c>
      <c r="E17" s="5" t="s">
        <v>70</v>
      </c>
      <c r="F17" s="6" t="n">
        <v>401</v>
      </c>
      <c r="G17" s="13" t="s">
        <v>92</v>
      </c>
      <c r="H17" s="6" t="n">
        <v>401</v>
      </c>
      <c r="I17" s="5" t="s">
        <v>19</v>
      </c>
      <c r="J17" s="5" t="s">
        <v>20</v>
      </c>
      <c r="K17" s="7" t="n">
        <v>46321</v>
      </c>
      <c r="L17" s="11" t="s">
        <v>93</v>
      </c>
    </row>
    <row r="18" customFormat="false" ht="22.5" hidden="false" customHeight="true" outlineLevel="0" collapsed="false">
      <c r="A18" s="5" t="s">
        <v>94</v>
      </c>
      <c r="B18" s="5" t="s">
        <v>95</v>
      </c>
      <c r="C18" s="5" t="s">
        <v>96</v>
      </c>
      <c r="D18" s="5" t="s">
        <v>97</v>
      </c>
      <c r="E18" s="5" t="s">
        <v>98</v>
      </c>
      <c r="F18" s="6" t="n">
        <v>403</v>
      </c>
      <c r="G18" s="11" t="s">
        <v>99</v>
      </c>
      <c r="H18" s="6" t="n">
        <v>403</v>
      </c>
      <c r="I18" s="5" t="s">
        <v>19</v>
      </c>
      <c r="J18" s="5" t="s">
        <v>20</v>
      </c>
      <c r="K18" s="7" t="n">
        <v>46321</v>
      </c>
      <c r="L18" s="5" t="s">
        <v>100</v>
      </c>
    </row>
    <row r="19" customFormat="false" ht="33" hidden="false" customHeight="true" outlineLevel="0" collapsed="false">
      <c r="A19" s="5" t="s">
        <v>101</v>
      </c>
      <c r="B19" s="5" t="s">
        <v>95</v>
      </c>
      <c r="C19" s="5" t="s">
        <v>102</v>
      </c>
      <c r="D19" s="5" t="s">
        <v>103</v>
      </c>
      <c r="E19" s="5" t="s">
        <v>98</v>
      </c>
      <c r="F19" s="6" t="n">
        <v>403</v>
      </c>
      <c r="G19" s="14" t="s">
        <v>104</v>
      </c>
      <c r="H19" s="6" t="n">
        <v>403</v>
      </c>
      <c r="I19" s="5" t="s">
        <v>19</v>
      </c>
      <c r="J19" s="5" t="s">
        <v>20</v>
      </c>
      <c r="K19" s="7" t="n">
        <v>46321</v>
      </c>
      <c r="L19" s="11" t="s">
        <v>105</v>
      </c>
    </row>
    <row r="20" customFormat="false" ht="22.5" hidden="false" customHeight="true" outlineLevel="0" collapsed="false">
      <c r="A20" s="5" t="s">
        <v>106</v>
      </c>
      <c r="B20" s="5" t="s">
        <v>95</v>
      </c>
      <c r="C20" s="5" t="s">
        <v>107</v>
      </c>
      <c r="D20" s="5" t="s">
        <v>108</v>
      </c>
      <c r="E20" s="5" t="s">
        <v>98</v>
      </c>
      <c r="F20" s="6" t="n">
        <v>403</v>
      </c>
      <c r="G20" s="14" t="s">
        <v>109</v>
      </c>
      <c r="H20" s="6" t="n">
        <v>403</v>
      </c>
      <c r="I20" s="5" t="s">
        <v>19</v>
      </c>
      <c r="J20" s="5" t="s">
        <v>20</v>
      </c>
      <c r="K20" s="7" t="n">
        <v>46321</v>
      </c>
      <c r="L20" s="5" t="s">
        <v>110</v>
      </c>
    </row>
    <row r="21" customFormat="false" ht="33" hidden="false" customHeight="true" outlineLevel="0" collapsed="false">
      <c r="A21" s="5" t="s">
        <v>111</v>
      </c>
      <c r="B21" s="5" t="s">
        <v>95</v>
      </c>
      <c r="C21" s="5" t="s">
        <v>112</v>
      </c>
      <c r="D21" s="5" t="s">
        <v>113</v>
      </c>
      <c r="E21" s="5" t="s">
        <v>114</v>
      </c>
      <c r="F21" s="6" t="n">
        <v>200</v>
      </c>
      <c r="G21" s="5" t="s">
        <v>115</v>
      </c>
      <c r="H21" s="6" t="n">
        <v>200</v>
      </c>
      <c r="I21" s="5" t="s">
        <v>19</v>
      </c>
      <c r="J21" s="5" t="s">
        <v>20</v>
      </c>
      <c r="K21" s="7" t="n">
        <v>46321</v>
      </c>
      <c r="L21" s="11" t="s">
        <v>116</v>
      </c>
    </row>
    <row r="22" customFormat="false" ht="20.25" hidden="false" customHeight="true" outlineLevel="0" collapsed="false">
      <c r="A22" s="5" t="s">
        <v>117</v>
      </c>
      <c r="B22" s="5" t="s">
        <v>95</v>
      </c>
      <c r="C22" s="5" t="s">
        <v>118</v>
      </c>
      <c r="D22" s="5" t="s">
        <v>119</v>
      </c>
      <c r="E22" s="5" t="s">
        <v>120</v>
      </c>
      <c r="F22" s="6" t="n">
        <v>409</v>
      </c>
      <c r="G22" s="5" t="s">
        <v>121</v>
      </c>
      <c r="H22" s="6" t="n">
        <v>409</v>
      </c>
      <c r="I22" s="5" t="s">
        <v>19</v>
      </c>
      <c r="J22" s="5" t="s">
        <v>20</v>
      </c>
      <c r="K22" s="7" t="n">
        <v>46321</v>
      </c>
      <c r="L22" s="5" t="s">
        <v>122</v>
      </c>
    </row>
    <row r="23" customFormat="false" ht="33" hidden="false" customHeight="true" outlineLevel="0" collapsed="false">
      <c r="A23" s="5" t="s">
        <v>123</v>
      </c>
      <c r="B23" s="5" t="s">
        <v>95</v>
      </c>
      <c r="C23" s="5" t="s">
        <v>124</v>
      </c>
      <c r="D23" s="5" t="s">
        <v>125</v>
      </c>
      <c r="E23" s="5" t="s">
        <v>126</v>
      </c>
      <c r="F23" s="6" t="n">
        <v>403</v>
      </c>
      <c r="G23" s="5" t="s">
        <v>127</v>
      </c>
      <c r="H23" s="6" t="n">
        <v>403</v>
      </c>
      <c r="I23" s="5" t="s">
        <v>19</v>
      </c>
      <c r="J23" s="5" t="s">
        <v>20</v>
      </c>
      <c r="K23" s="7" t="n">
        <v>46324</v>
      </c>
      <c r="L23" s="5" t="s">
        <v>128</v>
      </c>
    </row>
    <row r="24" customFormat="false" ht="22.5" hidden="false" customHeight="true" outlineLevel="0" collapsed="false">
      <c r="A24" s="5" t="s">
        <v>129</v>
      </c>
      <c r="B24" s="5" t="s">
        <v>95</v>
      </c>
      <c r="C24" s="5" t="s">
        <v>130</v>
      </c>
      <c r="D24" s="5" t="s">
        <v>131</v>
      </c>
      <c r="E24" s="5" t="s">
        <v>132</v>
      </c>
      <c r="F24" s="6" t="n">
        <v>200</v>
      </c>
      <c r="G24" s="5" t="s">
        <v>133</v>
      </c>
      <c r="H24" s="6" t="n">
        <v>200</v>
      </c>
      <c r="I24" s="5" t="s">
        <v>19</v>
      </c>
      <c r="J24" s="5" t="s">
        <v>20</v>
      </c>
      <c r="K24" s="7" t="n">
        <v>46321</v>
      </c>
      <c r="L24" s="11" t="s">
        <v>134</v>
      </c>
    </row>
    <row r="25" customFormat="false" ht="29.25" hidden="false" customHeight="true" outlineLevel="0" collapsed="false">
      <c r="A25" s="5" t="s">
        <v>135</v>
      </c>
      <c r="B25" s="5" t="s">
        <v>95</v>
      </c>
      <c r="C25" s="5" t="s">
        <v>136</v>
      </c>
      <c r="D25" s="5" t="s">
        <v>137</v>
      </c>
      <c r="E25" s="5" t="s">
        <v>138</v>
      </c>
      <c r="F25" s="6" t="n">
        <v>204</v>
      </c>
      <c r="G25" s="5" t="s">
        <v>139</v>
      </c>
      <c r="H25" s="6" t="n">
        <v>204</v>
      </c>
      <c r="I25" s="5" t="s">
        <v>19</v>
      </c>
      <c r="J25" s="5" t="s">
        <v>20</v>
      </c>
      <c r="K25" s="7" t="n">
        <v>46321</v>
      </c>
      <c r="L25" s="5" t="s">
        <v>140</v>
      </c>
    </row>
    <row r="26" customFormat="false" ht="20.25" hidden="false" customHeight="true" outlineLevel="0" collapsed="false">
      <c r="A26" s="5" t="s">
        <v>141</v>
      </c>
      <c r="B26" s="5" t="s">
        <v>95</v>
      </c>
      <c r="C26" s="5" t="s">
        <v>142</v>
      </c>
      <c r="D26" s="5" t="s">
        <v>143</v>
      </c>
      <c r="E26" s="5" t="s">
        <v>144</v>
      </c>
      <c r="F26" s="6" t="n">
        <v>404</v>
      </c>
      <c r="G26" s="14" t="s">
        <v>145</v>
      </c>
      <c r="H26" s="6" t="n">
        <v>404</v>
      </c>
      <c r="I26" s="5" t="s">
        <v>19</v>
      </c>
      <c r="J26" s="5" t="s">
        <v>20</v>
      </c>
      <c r="K26" s="7" t="n">
        <v>46321</v>
      </c>
      <c r="L26" s="5" t="s">
        <v>146</v>
      </c>
    </row>
    <row r="27" customFormat="false" ht="11.25" hidden="false" customHeight="true" outlineLevel="0" collapsed="false">
      <c r="A27" s="5" t="s">
        <v>147</v>
      </c>
      <c r="B27" s="5" t="s">
        <v>148</v>
      </c>
      <c r="C27" s="5" t="s">
        <v>149</v>
      </c>
      <c r="D27" s="5" t="s">
        <v>150</v>
      </c>
      <c r="E27" s="5" t="s">
        <v>151</v>
      </c>
      <c r="F27" s="6" t="n">
        <v>200</v>
      </c>
      <c r="G27" s="5" t="s">
        <v>152</v>
      </c>
      <c r="H27" s="6" t="n">
        <v>200</v>
      </c>
      <c r="I27" s="5" t="s">
        <v>19</v>
      </c>
      <c r="J27" s="5" t="s">
        <v>20</v>
      </c>
      <c r="K27" s="7" t="n">
        <v>46321</v>
      </c>
      <c r="L27" s="5" t="s">
        <v>153</v>
      </c>
    </row>
    <row r="28" customFormat="false" ht="11.25" hidden="false" customHeight="true" outlineLevel="0" collapsed="false">
      <c r="A28" s="5" t="s">
        <v>154</v>
      </c>
      <c r="B28" s="5" t="s">
        <v>148</v>
      </c>
      <c r="C28" s="5" t="s">
        <v>155</v>
      </c>
      <c r="D28" s="5" t="s">
        <v>156</v>
      </c>
      <c r="E28" s="5" t="s">
        <v>157</v>
      </c>
      <c r="F28" s="6" t="n">
        <v>200</v>
      </c>
      <c r="G28" s="5" t="s">
        <v>158</v>
      </c>
      <c r="H28" s="6" t="n">
        <v>200</v>
      </c>
      <c r="I28" s="5" t="s">
        <v>19</v>
      </c>
      <c r="J28" s="5" t="s">
        <v>20</v>
      </c>
      <c r="K28" s="7" t="n">
        <v>46321</v>
      </c>
      <c r="L28" s="5" t="s">
        <v>159</v>
      </c>
    </row>
    <row r="29" customFormat="false" ht="20.25" hidden="false" customHeight="true" outlineLevel="0" collapsed="false">
      <c r="A29" s="5" t="s">
        <v>160</v>
      </c>
      <c r="B29" s="5" t="s">
        <v>161</v>
      </c>
      <c r="C29" s="5" t="s">
        <v>162</v>
      </c>
      <c r="D29" s="5" t="s">
        <v>163</v>
      </c>
      <c r="E29" s="5" t="s">
        <v>164</v>
      </c>
      <c r="F29" s="6" t="n">
        <v>200</v>
      </c>
      <c r="G29" s="5" t="s">
        <v>165</v>
      </c>
      <c r="H29" s="6" t="n">
        <v>200</v>
      </c>
      <c r="I29" s="5" t="s">
        <v>19</v>
      </c>
      <c r="J29" s="5" t="s">
        <v>20</v>
      </c>
      <c r="K29" s="7" t="n">
        <v>46321</v>
      </c>
      <c r="L29" s="5" t="s">
        <v>166</v>
      </c>
    </row>
    <row r="30" customFormat="false" ht="29.25" hidden="false" customHeight="true" outlineLevel="0" collapsed="false">
      <c r="A30" s="5" t="s">
        <v>167</v>
      </c>
      <c r="B30" s="5" t="s">
        <v>161</v>
      </c>
      <c r="C30" s="5" t="s">
        <v>168</v>
      </c>
      <c r="D30" s="5" t="s">
        <v>169</v>
      </c>
      <c r="E30" s="5" t="s">
        <v>98</v>
      </c>
      <c r="F30" s="6" t="n">
        <v>403</v>
      </c>
      <c r="G30" s="5" t="s">
        <v>170</v>
      </c>
      <c r="H30" s="6" t="n">
        <v>403</v>
      </c>
      <c r="I30" s="5" t="s">
        <v>19</v>
      </c>
      <c r="J30" s="5" t="s">
        <v>20</v>
      </c>
      <c r="K30" s="7" t="n">
        <v>46324</v>
      </c>
      <c r="L30" s="5" t="s">
        <v>171</v>
      </c>
    </row>
    <row r="31" customFormat="false" ht="11.25" hidden="false" customHeight="true" outlineLevel="0" collapsed="false">
      <c r="A31" s="5" t="s">
        <v>172</v>
      </c>
      <c r="B31" s="5" t="s">
        <v>161</v>
      </c>
      <c r="C31" s="5" t="s">
        <v>173</v>
      </c>
      <c r="D31" s="5" t="s">
        <v>174</v>
      </c>
      <c r="E31" s="5" t="s">
        <v>70</v>
      </c>
      <c r="F31" s="6" t="n">
        <v>401</v>
      </c>
      <c r="G31" s="5" t="s">
        <v>175</v>
      </c>
      <c r="H31" s="6" t="n">
        <v>401</v>
      </c>
      <c r="I31" s="5" t="s">
        <v>19</v>
      </c>
      <c r="J31" s="5" t="s">
        <v>20</v>
      </c>
      <c r="K31" s="7" t="n">
        <v>46321</v>
      </c>
      <c r="L31" s="5" t="s">
        <v>176</v>
      </c>
    </row>
    <row r="32" customFormat="false" ht="11.25" hidden="false" customHeight="true" outlineLevel="0" collapsed="false">
      <c r="A32" s="5" t="s">
        <v>177</v>
      </c>
      <c r="B32" s="5" t="s">
        <v>161</v>
      </c>
      <c r="C32" s="5" t="s">
        <v>178</v>
      </c>
      <c r="D32" s="5" t="s">
        <v>179</v>
      </c>
      <c r="E32" s="5" t="s">
        <v>180</v>
      </c>
      <c r="F32" s="6" t="n">
        <v>403</v>
      </c>
      <c r="G32" s="5" t="s">
        <v>181</v>
      </c>
      <c r="H32" s="6" t="n">
        <v>403</v>
      </c>
      <c r="I32" s="5" t="s">
        <v>19</v>
      </c>
      <c r="J32" s="5" t="s">
        <v>20</v>
      </c>
      <c r="K32" s="7" t="n">
        <v>46321</v>
      </c>
      <c r="L32" s="5" t="s">
        <v>182</v>
      </c>
    </row>
    <row r="33" customFormat="false" ht="20.25" hidden="false" customHeight="true" outlineLevel="0" collapsed="false">
      <c r="A33" s="5" t="s">
        <v>183</v>
      </c>
      <c r="B33" s="5" t="s">
        <v>161</v>
      </c>
      <c r="C33" s="5" t="s">
        <v>184</v>
      </c>
      <c r="D33" s="5" t="s">
        <v>185</v>
      </c>
      <c r="E33" s="5" t="s">
        <v>70</v>
      </c>
      <c r="F33" s="6" t="n">
        <v>403</v>
      </c>
      <c r="G33" s="5" t="s">
        <v>186</v>
      </c>
      <c r="H33" s="6" t="n">
        <v>403</v>
      </c>
      <c r="I33" s="5" t="s">
        <v>19</v>
      </c>
      <c r="J33" s="5" t="s">
        <v>20</v>
      </c>
      <c r="K33" s="7" t="n">
        <v>46324</v>
      </c>
      <c r="L33" s="5" t="s">
        <v>187</v>
      </c>
    </row>
    <row r="34" customFormat="false" ht="20.25" hidden="false" customHeight="true" outlineLevel="0" collapsed="false">
      <c r="A34" s="5" t="s">
        <v>188</v>
      </c>
      <c r="B34" s="5" t="s">
        <v>161</v>
      </c>
      <c r="C34" s="5" t="s">
        <v>189</v>
      </c>
      <c r="D34" s="5" t="s">
        <v>190</v>
      </c>
      <c r="E34" s="5" t="s">
        <v>191</v>
      </c>
      <c r="F34" s="6" t="n">
        <v>200</v>
      </c>
      <c r="G34" s="5" t="s">
        <v>192</v>
      </c>
      <c r="H34" s="6" t="n">
        <v>200</v>
      </c>
      <c r="I34" s="5" t="s">
        <v>19</v>
      </c>
      <c r="J34" s="5" t="s">
        <v>20</v>
      </c>
      <c r="K34" s="7" t="n">
        <v>46321</v>
      </c>
      <c r="L34" s="5" t="s">
        <v>193</v>
      </c>
    </row>
    <row r="35" customFormat="false" ht="20.25" hidden="false" customHeight="true" outlineLevel="0" collapsed="false">
      <c r="A35" s="5" t="s">
        <v>194</v>
      </c>
      <c r="B35" s="5" t="s">
        <v>161</v>
      </c>
      <c r="C35" s="5" t="s">
        <v>195</v>
      </c>
      <c r="D35" s="5" t="s">
        <v>196</v>
      </c>
      <c r="E35" s="5" t="s">
        <v>197</v>
      </c>
      <c r="F35" s="6" t="n">
        <v>200</v>
      </c>
      <c r="G35" s="5" t="s">
        <v>198</v>
      </c>
      <c r="H35" s="6" t="n">
        <v>200</v>
      </c>
      <c r="I35" s="5" t="s">
        <v>19</v>
      </c>
      <c r="J35" s="5" t="s">
        <v>20</v>
      </c>
      <c r="K35" s="7" t="n">
        <v>46321</v>
      </c>
      <c r="L35" s="5" t="s">
        <v>199</v>
      </c>
    </row>
    <row r="36" customFormat="false" ht="20.25" hidden="false" customHeight="true" outlineLevel="0" collapsed="false">
      <c r="A36" s="5" t="s">
        <v>200</v>
      </c>
      <c r="B36" s="5" t="s">
        <v>161</v>
      </c>
      <c r="C36" s="5" t="s">
        <v>201</v>
      </c>
      <c r="D36" s="5" t="s">
        <v>202</v>
      </c>
      <c r="E36" s="5" t="s">
        <v>203</v>
      </c>
      <c r="F36" s="6" t="n">
        <v>404</v>
      </c>
      <c r="G36" s="5" t="s">
        <v>145</v>
      </c>
      <c r="H36" s="6" t="n">
        <v>404</v>
      </c>
      <c r="I36" s="5" t="s">
        <v>19</v>
      </c>
      <c r="J36" s="5" t="s">
        <v>20</v>
      </c>
      <c r="K36" s="7" t="n">
        <v>46321</v>
      </c>
      <c r="L36" s="5" t="s">
        <v>204</v>
      </c>
    </row>
    <row r="37" customFormat="false" ht="20.25" hidden="false" customHeight="true" outlineLevel="0" collapsed="false">
      <c r="A37" s="5" t="s">
        <v>205</v>
      </c>
      <c r="B37" s="5" t="s">
        <v>206</v>
      </c>
      <c r="C37" s="5" t="s">
        <v>207</v>
      </c>
      <c r="D37" s="5" t="s">
        <v>208</v>
      </c>
      <c r="E37" s="5" t="s">
        <v>209</v>
      </c>
      <c r="F37" s="6" t="n">
        <v>200</v>
      </c>
      <c r="G37" s="5" t="s">
        <v>210</v>
      </c>
      <c r="H37" s="6" t="n">
        <v>200</v>
      </c>
      <c r="I37" s="5" t="s">
        <v>19</v>
      </c>
      <c r="J37" s="5" t="s">
        <v>20</v>
      </c>
      <c r="K37" s="7" t="n">
        <v>46321</v>
      </c>
      <c r="L37" s="15"/>
    </row>
    <row r="38" customFormat="false" ht="38.25" hidden="false" customHeight="true" outlineLevel="0" collapsed="false">
      <c r="A38" s="5" t="s">
        <v>211</v>
      </c>
      <c r="B38" s="5" t="s">
        <v>206</v>
      </c>
      <c r="C38" s="5" t="s">
        <v>212</v>
      </c>
      <c r="D38" s="5" t="s">
        <v>213</v>
      </c>
      <c r="E38" s="5" t="s">
        <v>214</v>
      </c>
      <c r="F38" s="6" t="n">
        <v>200</v>
      </c>
      <c r="G38" s="5" t="s">
        <v>215</v>
      </c>
      <c r="H38" s="6" t="n">
        <v>200</v>
      </c>
      <c r="I38" s="5" t="s">
        <v>19</v>
      </c>
      <c r="J38" s="5" t="s">
        <v>20</v>
      </c>
      <c r="K38" s="7" t="n">
        <v>46321</v>
      </c>
      <c r="L38" s="5" t="s">
        <v>216</v>
      </c>
    </row>
    <row r="39" customFormat="false" ht="24" hidden="false" customHeight="true" outlineLevel="0" collapsed="false">
      <c r="A39" s="5" t="s">
        <v>217</v>
      </c>
      <c r="B39" s="5" t="s">
        <v>14</v>
      </c>
      <c r="C39" s="5" t="s">
        <v>218</v>
      </c>
      <c r="D39" s="5" t="s">
        <v>219</v>
      </c>
      <c r="E39" s="5" t="s">
        <v>220</v>
      </c>
      <c r="F39" s="6" t="s">
        <v>221</v>
      </c>
      <c r="G39" s="5" t="s">
        <v>222</v>
      </c>
      <c r="H39" s="6" t="s">
        <v>221</v>
      </c>
      <c r="I39" s="5" t="s">
        <v>19</v>
      </c>
      <c r="J39" s="5" t="s">
        <v>20</v>
      </c>
      <c r="K39" s="7" t="n">
        <v>46324</v>
      </c>
      <c r="L39" s="5" t="s">
        <v>223</v>
      </c>
    </row>
    <row r="40" customFormat="false" ht="24" hidden="false" customHeight="true" outlineLevel="0" collapsed="false">
      <c r="A40" s="5" t="s">
        <v>224</v>
      </c>
      <c r="B40" s="5" t="s">
        <v>14</v>
      </c>
      <c r="C40" s="5" t="s">
        <v>225</v>
      </c>
      <c r="D40" s="5" t="s">
        <v>226</v>
      </c>
      <c r="E40" s="5" t="s">
        <v>227</v>
      </c>
      <c r="F40" s="6" t="s">
        <v>221</v>
      </c>
      <c r="G40" s="5" t="s">
        <v>228</v>
      </c>
      <c r="H40" s="6" t="s">
        <v>221</v>
      </c>
      <c r="I40" s="5" t="s">
        <v>19</v>
      </c>
      <c r="J40" s="5" t="s">
        <v>20</v>
      </c>
      <c r="K40" s="7" t="n">
        <v>46324</v>
      </c>
      <c r="L40" s="5" t="s">
        <v>229</v>
      </c>
    </row>
    <row r="41" customFormat="false" ht="31.5" hidden="false" customHeight="true" outlineLevel="0" collapsed="false">
      <c r="A41" s="5" t="s">
        <v>230</v>
      </c>
      <c r="B41" s="5" t="s">
        <v>14</v>
      </c>
      <c r="C41" s="5" t="s">
        <v>231</v>
      </c>
      <c r="D41" s="5" t="s">
        <v>232</v>
      </c>
      <c r="E41" s="5" t="s">
        <v>233</v>
      </c>
      <c r="F41" s="6" t="s">
        <v>221</v>
      </c>
      <c r="G41" s="5" t="s">
        <v>234</v>
      </c>
      <c r="H41" s="6" t="s">
        <v>221</v>
      </c>
      <c r="I41" s="5" t="s">
        <v>19</v>
      </c>
      <c r="J41" s="5" t="s">
        <v>20</v>
      </c>
      <c r="K41" s="7" t="n">
        <v>46324</v>
      </c>
      <c r="L41" s="5" t="s">
        <v>235</v>
      </c>
    </row>
    <row r="42" customFormat="false" ht="63" hidden="false" customHeight="true" outlineLevel="0" collapsed="false">
      <c r="A42" s="5" t="s">
        <v>236</v>
      </c>
      <c r="B42" s="5" t="s">
        <v>14</v>
      </c>
      <c r="C42" s="5" t="s">
        <v>237</v>
      </c>
      <c r="D42" s="5" t="s">
        <v>238</v>
      </c>
      <c r="E42" s="5" t="s">
        <v>239</v>
      </c>
      <c r="F42" s="6" t="s">
        <v>221</v>
      </c>
      <c r="G42" s="5" t="s">
        <v>240</v>
      </c>
      <c r="H42" s="6" t="s">
        <v>221</v>
      </c>
      <c r="I42" s="5" t="s">
        <v>19</v>
      </c>
      <c r="J42" s="5" t="s">
        <v>20</v>
      </c>
      <c r="K42" s="7" t="n">
        <v>46324</v>
      </c>
      <c r="L42" s="5" t="s">
        <v>241</v>
      </c>
    </row>
    <row r="43" customFormat="false" ht="24" hidden="false" customHeight="true" outlineLevel="0" collapsed="false">
      <c r="A43" s="5" t="s">
        <v>242</v>
      </c>
      <c r="B43" s="5" t="s">
        <v>14</v>
      </c>
      <c r="C43" s="5" t="s">
        <v>243</v>
      </c>
      <c r="D43" s="5" t="s">
        <v>244</v>
      </c>
      <c r="E43" s="5" t="s">
        <v>25</v>
      </c>
      <c r="F43" s="6" t="s">
        <v>221</v>
      </c>
      <c r="G43" s="5" t="s">
        <v>245</v>
      </c>
      <c r="H43" s="6" t="s">
        <v>221</v>
      </c>
      <c r="I43" s="5" t="s">
        <v>19</v>
      </c>
      <c r="J43" s="5" t="s">
        <v>20</v>
      </c>
      <c r="K43" s="7" t="n">
        <v>46324</v>
      </c>
      <c r="L43" s="5" t="s">
        <v>246</v>
      </c>
    </row>
    <row r="44" customFormat="false" ht="31.5" hidden="false" customHeight="true" outlineLevel="0" collapsed="false">
      <c r="A44" s="5" t="s">
        <v>247</v>
      </c>
      <c r="B44" s="5" t="s">
        <v>14</v>
      </c>
      <c r="C44" s="5" t="s">
        <v>248</v>
      </c>
      <c r="D44" s="5" t="s">
        <v>249</v>
      </c>
      <c r="E44" s="5" t="s">
        <v>250</v>
      </c>
      <c r="F44" s="6" t="s">
        <v>221</v>
      </c>
      <c r="G44" s="5" t="s">
        <v>251</v>
      </c>
      <c r="H44" s="6" t="s">
        <v>221</v>
      </c>
      <c r="I44" s="5" t="s">
        <v>19</v>
      </c>
      <c r="J44" s="5" t="s">
        <v>20</v>
      </c>
      <c r="K44" s="7" t="n">
        <v>46324</v>
      </c>
      <c r="L44" s="5" t="s">
        <v>252</v>
      </c>
    </row>
    <row r="45" customFormat="false" ht="24" hidden="false" customHeight="true" outlineLevel="0" collapsed="false">
      <c r="A45" s="5" t="s">
        <v>253</v>
      </c>
      <c r="B45" s="5" t="s">
        <v>45</v>
      </c>
      <c r="C45" s="5" t="s">
        <v>254</v>
      </c>
      <c r="D45" s="5" t="s">
        <v>255</v>
      </c>
      <c r="E45" s="5" t="s">
        <v>256</v>
      </c>
      <c r="F45" s="6" t="s">
        <v>221</v>
      </c>
      <c r="G45" s="5" t="s">
        <v>257</v>
      </c>
      <c r="H45" s="6" t="s">
        <v>221</v>
      </c>
      <c r="I45" s="5" t="s">
        <v>19</v>
      </c>
      <c r="J45" s="5" t="s">
        <v>20</v>
      </c>
      <c r="K45" s="7" t="n">
        <v>46324</v>
      </c>
      <c r="L45" s="5" t="s">
        <v>258</v>
      </c>
    </row>
    <row r="46" customFormat="false" ht="31.5" hidden="false" customHeight="true" outlineLevel="0" collapsed="false">
      <c r="A46" s="5" t="s">
        <v>259</v>
      </c>
      <c r="B46" s="5" t="s">
        <v>45</v>
      </c>
      <c r="C46" s="5" t="s">
        <v>260</v>
      </c>
      <c r="D46" s="5" t="s">
        <v>261</v>
      </c>
      <c r="E46" s="5" t="s">
        <v>262</v>
      </c>
      <c r="F46" s="6" t="s">
        <v>221</v>
      </c>
      <c r="G46" s="5" t="s">
        <v>263</v>
      </c>
      <c r="H46" s="6" t="s">
        <v>221</v>
      </c>
      <c r="I46" s="5" t="s">
        <v>19</v>
      </c>
      <c r="J46" s="5" t="s">
        <v>20</v>
      </c>
      <c r="K46" s="7" t="n">
        <v>46324</v>
      </c>
      <c r="L46" s="5" t="s">
        <v>264</v>
      </c>
    </row>
    <row r="47" customFormat="false" ht="42" hidden="false" customHeight="true" outlineLevel="0" collapsed="false">
      <c r="A47" s="5" t="s">
        <v>265</v>
      </c>
      <c r="B47" s="5" t="s">
        <v>45</v>
      </c>
      <c r="C47" s="5" t="s">
        <v>266</v>
      </c>
      <c r="D47" s="5" t="s">
        <v>267</v>
      </c>
      <c r="E47" s="5" t="s">
        <v>268</v>
      </c>
      <c r="F47" s="6" t="s">
        <v>221</v>
      </c>
      <c r="G47" s="5" t="s">
        <v>269</v>
      </c>
      <c r="H47" s="6" t="s">
        <v>221</v>
      </c>
      <c r="I47" s="5" t="s">
        <v>19</v>
      </c>
      <c r="J47" s="5" t="s">
        <v>20</v>
      </c>
      <c r="K47" s="7" t="n">
        <v>46324</v>
      </c>
      <c r="L47" s="5" t="s">
        <v>270</v>
      </c>
    </row>
    <row r="48" customFormat="false" ht="63" hidden="false" customHeight="true" outlineLevel="0" collapsed="false">
      <c r="A48" s="5" t="s">
        <v>271</v>
      </c>
      <c r="B48" s="5" t="s">
        <v>272</v>
      </c>
      <c r="C48" s="5" t="s">
        <v>273</v>
      </c>
      <c r="D48" s="5" t="s">
        <v>274</v>
      </c>
      <c r="E48" s="5" t="s">
        <v>275</v>
      </c>
      <c r="F48" s="6" t="s">
        <v>221</v>
      </c>
      <c r="G48" s="5" t="s">
        <v>276</v>
      </c>
      <c r="H48" s="6" t="s">
        <v>221</v>
      </c>
      <c r="I48" s="5" t="s">
        <v>19</v>
      </c>
      <c r="J48" s="5" t="s">
        <v>20</v>
      </c>
      <c r="K48" s="7" t="n">
        <v>46324</v>
      </c>
      <c r="L48" s="5" t="s">
        <v>277</v>
      </c>
    </row>
    <row r="49" customFormat="false" ht="24" hidden="false" customHeight="true" outlineLevel="0" collapsed="false">
      <c r="A49" s="5" t="s">
        <v>278</v>
      </c>
      <c r="B49" s="5" t="s">
        <v>272</v>
      </c>
      <c r="C49" s="5" t="s">
        <v>279</v>
      </c>
      <c r="D49" s="5" t="s">
        <v>280</v>
      </c>
      <c r="E49" s="5" t="s">
        <v>281</v>
      </c>
      <c r="F49" s="6" t="s">
        <v>221</v>
      </c>
      <c r="G49" s="5" t="s">
        <v>281</v>
      </c>
      <c r="H49" s="6" t="s">
        <v>221</v>
      </c>
      <c r="I49" s="5" t="s">
        <v>19</v>
      </c>
      <c r="J49" s="5" t="s">
        <v>20</v>
      </c>
      <c r="K49" s="7" t="n">
        <v>46324</v>
      </c>
      <c r="L49" s="5" t="s">
        <v>282</v>
      </c>
    </row>
    <row r="50" customFormat="false" ht="24" hidden="false" customHeight="true" outlineLevel="0" collapsed="false">
      <c r="A50" s="5" t="s">
        <v>283</v>
      </c>
      <c r="B50" s="5" t="s">
        <v>272</v>
      </c>
      <c r="C50" s="5" t="s">
        <v>284</v>
      </c>
      <c r="D50" s="5" t="s">
        <v>285</v>
      </c>
      <c r="E50" s="5" t="s">
        <v>286</v>
      </c>
      <c r="F50" s="6" t="s">
        <v>221</v>
      </c>
      <c r="G50" s="5" t="s">
        <v>287</v>
      </c>
      <c r="H50" s="6" t="s">
        <v>221</v>
      </c>
      <c r="I50" s="5" t="s">
        <v>19</v>
      </c>
      <c r="J50" s="5" t="s">
        <v>20</v>
      </c>
      <c r="K50" s="7" t="n">
        <v>46324</v>
      </c>
      <c r="L50" s="5" t="s">
        <v>288</v>
      </c>
    </row>
    <row r="51" customFormat="false" ht="52.5" hidden="false" customHeight="true" outlineLevel="0" collapsed="false">
      <c r="A51" s="5" t="s">
        <v>289</v>
      </c>
      <c r="B51" s="5" t="s">
        <v>272</v>
      </c>
      <c r="C51" s="5" t="s">
        <v>290</v>
      </c>
      <c r="D51" s="5" t="s">
        <v>291</v>
      </c>
      <c r="E51" s="5" t="s">
        <v>292</v>
      </c>
      <c r="F51" s="6" t="s">
        <v>221</v>
      </c>
      <c r="G51" s="5" t="s">
        <v>293</v>
      </c>
      <c r="H51" s="6" t="s">
        <v>221</v>
      </c>
      <c r="I51" s="5" t="s">
        <v>19</v>
      </c>
      <c r="J51" s="5" t="s">
        <v>20</v>
      </c>
      <c r="K51" s="7" t="n">
        <v>46324</v>
      </c>
      <c r="L51" s="5" t="s">
        <v>294</v>
      </c>
    </row>
    <row r="52" customFormat="false" ht="31.5" hidden="false" customHeight="true" outlineLevel="0" collapsed="false">
      <c r="A52" s="5" t="s">
        <v>295</v>
      </c>
      <c r="B52" s="5" t="s">
        <v>296</v>
      </c>
      <c r="C52" s="5" t="s">
        <v>297</v>
      </c>
      <c r="D52" s="5" t="s">
        <v>298</v>
      </c>
      <c r="E52" s="5" t="s">
        <v>70</v>
      </c>
      <c r="F52" s="6" t="s">
        <v>221</v>
      </c>
      <c r="G52" s="5" t="s">
        <v>299</v>
      </c>
      <c r="H52" s="6" t="s">
        <v>221</v>
      </c>
      <c r="I52" s="5" t="s">
        <v>19</v>
      </c>
      <c r="J52" s="5" t="s">
        <v>20</v>
      </c>
      <c r="K52" s="7" t="n">
        <v>46324</v>
      </c>
      <c r="L52" s="5" t="s">
        <v>300</v>
      </c>
    </row>
    <row r="53" customFormat="false" ht="31.5" hidden="false" customHeight="true" outlineLevel="0" collapsed="false">
      <c r="A53" s="5" t="s">
        <v>301</v>
      </c>
      <c r="B53" s="5" t="s">
        <v>296</v>
      </c>
      <c r="C53" s="5" t="s">
        <v>302</v>
      </c>
      <c r="D53" s="5" t="s">
        <v>303</v>
      </c>
      <c r="E53" s="5" t="s">
        <v>304</v>
      </c>
      <c r="F53" s="6" t="s">
        <v>221</v>
      </c>
      <c r="G53" s="5" t="s">
        <v>305</v>
      </c>
      <c r="H53" s="6" t="s">
        <v>221</v>
      </c>
      <c r="I53" s="5" t="s">
        <v>19</v>
      </c>
      <c r="J53" s="5" t="s">
        <v>20</v>
      </c>
      <c r="K53" s="7" t="n">
        <v>46324</v>
      </c>
      <c r="L53" s="5" t="s">
        <v>306</v>
      </c>
    </row>
    <row r="54" customFormat="false" ht="31.5" hidden="false" customHeight="true" outlineLevel="0" collapsed="false">
      <c r="A54" s="5" t="s">
        <v>307</v>
      </c>
      <c r="B54" s="5" t="s">
        <v>296</v>
      </c>
      <c r="C54" s="5" t="s">
        <v>308</v>
      </c>
      <c r="D54" s="5" t="s">
        <v>309</v>
      </c>
      <c r="E54" s="5" t="s">
        <v>310</v>
      </c>
      <c r="F54" s="6" t="s">
        <v>221</v>
      </c>
      <c r="G54" s="5" t="s">
        <v>311</v>
      </c>
      <c r="H54" s="6" t="s">
        <v>221</v>
      </c>
      <c r="I54" s="5" t="s">
        <v>19</v>
      </c>
      <c r="J54" s="5" t="s">
        <v>20</v>
      </c>
      <c r="K54" s="7" t="n">
        <v>46324</v>
      </c>
      <c r="L54" s="5" t="s">
        <v>312</v>
      </c>
    </row>
  </sheetData>
  <conditionalFormatting sqref="I4:I5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"Bloqué"</formula>
    </cfRule>
  </conditionalFormatting>
  <dataValidations count="1">
    <dataValidation allowBlank="true" errorStyle="stop" operator="between" showDropDown="false" showErrorMessage="true" showInputMessage="true" sqref="I4:I54" type="list">
      <formula1>"À faire,OK,KO,Bloqué"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 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false" hidden="false" outlineLevel="0" max="16384" min="5" style="1" width="8.68"/>
  </cols>
  <sheetData>
    <row r="1" customFormat="false" ht="18" hidden="false" customHeight="true" outlineLevel="0" collapsed="false">
      <c r="A1" s="16" t="s">
        <v>313</v>
      </c>
      <c r="B1" s="3"/>
      <c r="C1" s="3"/>
      <c r="D1" s="3"/>
      <c r="E1" s="3"/>
    </row>
    <row r="2" customFormat="false" ht="13.5" hidden="false" customHeight="true" outlineLevel="0" collapsed="false">
      <c r="A2" s="3"/>
      <c r="B2" s="3"/>
      <c r="C2" s="3"/>
      <c r="D2" s="3"/>
      <c r="E2" s="3"/>
    </row>
    <row r="3" customFormat="false" ht="14.25" hidden="false" customHeight="true" outlineLevel="0" collapsed="false">
      <c r="A3" s="17" t="s">
        <v>9</v>
      </c>
      <c r="B3" s="17" t="s">
        <v>314</v>
      </c>
      <c r="C3" s="17" t="s">
        <v>315</v>
      </c>
      <c r="D3" s="3"/>
      <c r="E3" s="3"/>
    </row>
    <row r="4" customFormat="false" ht="14.25" hidden="false" customHeight="true" outlineLevel="0" collapsed="false">
      <c r="A4" s="18" t="s">
        <v>19</v>
      </c>
      <c r="B4" s="19" t="n">
        <f aca="false" t="array" ref="B4:B4">COUNTIF('Plan de tests Lot 1'!$I$4:$I$54,A4)</f>
        <v>51</v>
      </c>
      <c r="C4" s="20" t="n">
        <f aca="false" t="array" ref="C4:C4">IFERROR(B4/$B$8,0)</f>
        <v>1</v>
      </c>
      <c r="D4" s="3"/>
      <c r="E4" s="3"/>
    </row>
    <row r="5" customFormat="false" ht="14.25" hidden="false" customHeight="true" outlineLevel="0" collapsed="false">
      <c r="A5" s="18" t="s">
        <v>316</v>
      </c>
      <c r="B5" s="19" t="n">
        <f aca="false" t="array" ref="B5:B5">COUNTIF('Plan de tests Lot 1'!$I$4:$I$54,A5)</f>
        <v>0</v>
      </c>
      <c r="C5" s="20" t="n">
        <f aca="false" t="array" ref="C5:C5">IFERROR(B5/$B$8,0)</f>
        <v>0</v>
      </c>
      <c r="D5" s="3"/>
      <c r="E5" s="3"/>
    </row>
    <row r="6" customFormat="false" ht="14.25" hidden="false" customHeight="true" outlineLevel="0" collapsed="false">
      <c r="A6" s="18" t="s">
        <v>317</v>
      </c>
      <c r="B6" s="19" t="n">
        <f aca="false" t="array" ref="B6:B6">COUNTIF('Plan de tests Lot 1'!$I$4:$I$54,A6)</f>
        <v>0</v>
      </c>
      <c r="C6" s="20" t="n">
        <f aca="false" t="array" ref="C6:C6">IFERROR(B6/$B$8,0)</f>
        <v>0</v>
      </c>
      <c r="D6" s="3"/>
      <c r="E6" s="3"/>
    </row>
    <row r="7" customFormat="false" ht="14.25" hidden="false" customHeight="true" outlineLevel="0" collapsed="false">
      <c r="A7" s="18" t="s">
        <v>318</v>
      </c>
      <c r="B7" s="19" t="n">
        <f aca="false" t="array" ref="B7:B7">COUNTIF('Plan de tests Lot 1'!$I$4:$I$54,A7)</f>
        <v>0</v>
      </c>
      <c r="C7" s="20" t="n">
        <f aca="false" t="array" ref="C7:C7">IFERROR(B7/$B$8,0)</f>
        <v>0</v>
      </c>
      <c r="D7" s="3"/>
      <c r="E7" s="3"/>
    </row>
    <row r="8" customFormat="false" ht="14.25" hidden="false" customHeight="true" outlineLevel="0" collapsed="false">
      <c r="A8" s="18" t="s">
        <v>319</v>
      </c>
      <c r="B8" s="19" t="n">
        <f aca="false" t="array" ref="B8:B8">SUM(B4:B7)</f>
        <v>51</v>
      </c>
      <c r="C8" s="20" t="n">
        <f aca="false" t="array" ref="C8:C8">SUM(C4:C7)</f>
        <v>1</v>
      </c>
      <c r="D8" s="3"/>
      <c r="E8" s="3"/>
    </row>
    <row r="9" customFormat="false" ht="13.5" hidden="false" customHeight="true" outlineLevel="0" collapsed="false">
      <c r="A9" s="3"/>
      <c r="B9" s="3"/>
      <c r="C9" s="3"/>
      <c r="D9" s="3"/>
      <c r="E9" s="3"/>
    </row>
    <row r="10" customFormat="false" ht="14.25" hidden="false" customHeight="true" outlineLevel="0" collapsed="false">
      <c r="A10" s="18" t="s">
        <v>320</v>
      </c>
      <c r="B10" s="3"/>
      <c r="C10" s="3"/>
      <c r="D10" s="3"/>
      <c r="E10" s="3"/>
    </row>
    <row r="11" customFormat="false" ht="14.25" hidden="false" customHeight="true" outlineLevel="0" collapsed="false">
      <c r="A11" s="17" t="s">
        <v>2</v>
      </c>
      <c r="B11" s="17" t="s">
        <v>319</v>
      </c>
      <c r="C11" s="17" t="s">
        <v>19</v>
      </c>
      <c r="D11" s="17" t="s">
        <v>316</v>
      </c>
      <c r="E11" s="3"/>
    </row>
    <row r="12" customFormat="false" ht="14.25" hidden="false" customHeight="true" outlineLevel="0" collapsed="false">
      <c r="A12" s="18" t="s">
        <v>14</v>
      </c>
      <c r="B12" s="19" t="n">
        <f aca="false" t="array" ref="B12:B12">COUNTIF('Plan de tests Lot 1'!$B$4:$B$54,A12)</f>
        <v>11</v>
      </c>
      <c r="C12" s="19" t="n">
        <f aca="false" t="array" ref="C12:C12">COUNTIFS('Plan de tests Lot 1'!$B$4:$B$54,A12,'Plan de tests Lot 1'!$I$4:$I$54,"OK")</f>
        <v>11</v>
      </c>
      <c r="D12" s="19" t="n">
        <f aca="false" t="array" ref="D12:D12">COUNTIFS('Plan de tests Lot 1'!$B$4:$B$54,A12,'Plan de tests Lot 1'!$I$4:$I$54,"KO")</f>
        <v>0</v>
      </c>
      <c r="E12" s="3"/>
    </row>
    <row r="13" customFormat="false" ht="14.25" hidden="false" customHeight="true" outlineLevel="0" collapsed="false">
      <c r="A13" s="18" t="s">
        <v>45</v>
      </c>
      <c r="B13" s="19" t="n">
        <f aca="false" t="array" ref="B13:B13">COUNTIF('Plan de tests Lot 1'!$B$4:$B$54,A13)</f>
        <v>7</v>
      </c>
      <c r="C13" s="19" t="n">
        <f aca="false" t="array" ref="C13:C13">COUNTIFS('Plan de tests Lot 1'!$B$4:$B$54,A13,'Plan de tests Lot 1'!$I$4:$I$54,"OK")</f>
        <v>7</v>
      </c>
      <c r="D13" s="19" t="n">
        <f aca="false" t="array" ref="D13:D13">COUNTIFS('Plan de tests Lot 1'!$B$4:$B$54,A13,'Plan de tests Lot 1'!$I$4:$I$54,"KO")</f>
        <v>0</v>
      </c>
      <c r="E13" s="3"/>
    </row>
    <row r="14" customFormat="false" ht="14.25" hidden="false" customHeight="true" outlineLevel="0" collapsed="false">
      <c r="A14" s="18" t="s">
        <v>67</v>
      </c>
      <c r="B14" s="19" t="n">
        <f aca="false" t="array" ref="B14:B14">COUNTIF('Plan de tests Lot 1'!$B$4:$B$54,A14)</f>
        <v>5</v>
      </c>
      <c r="C14" s="19" t="n">
        <f aca="false" t="array" ref="C14:C14">COUNTIFS('Plan de tests Lot 1'!$B$4:$B$54,A14,'Plan de tests Lot 1'!$I$4:$I$54,"OK")</f>
        <v>5</v>
      </c>
      <c r="D14" s="19" t="n">
        <f aca="false" t="array" ref="D14:D14">COUNTIFS('Plan de tests Lot 1'!$B$4:$B$54,A14,'Plan de tests Lot 1'!$I$4:$I$54,"KO")</f>
        <v>0</v>
      </c>
      <c r="E14" s="3"/>
    </row>
    <row r="15" customFormat="false" ht="14.25" hidden="false" customHeight="true" outlineLevel="0" collapsed="false">
      <c r="A15" s="18" t="s">
        <v>95</v>
      </c>
      <c r="B15" s="19" t="n">
        <f aca="false" t="array" ref="B15:B15">COUNTIF('Plan de tests Lot 1'!$B$4:$B$54,A15)</f>
        <v>9</v>
      </c>
      <c r="C15" s="19" t="n">
        <f aca="false" t="array" ref="C15:C15">COUNTIFS('Plan de tests Lot 1'!$B$4:$B$54,A15,'Plan de tests Lot 1'!$I$4:$I$54,"OK")</f>
        <v>9</v>
      </c>
      <c r="D15" s="19" t="n">
        <f aca="false" t="array" ref="D15:D15">COUNTIFS('Plan de tests Lot 1'!$B$4:$B$54,A15,'Plan de tests Lot 1'!$I$4:$I$54,"KO")</f>
        <v>0</v>
      </c>
      <c r="E15" s="3"/>
    </row>
    <row r="16" customFormat="false" ht="14.25" hidden="false" customHeight="true" outlineLevel="0" collapsed="false">
      <c r="A16" s="18" t="s">
        <v>148</v>
      </c>
      <c r="B16" s="19" t="n">
        <f aca="false" t="array" ref="B16:B16">COUNTIF('Plan de tests Lot 1'!$B$4:$B$54,A16)</f>
        <v>2</v>
      </c>
      <c r="C16" s="19" t="n">
        <f aca="false" t="array" ref="C16:C16">COUNTIFS('Plan de tests Lot 1'!$B$4:$B$54,A16,'Plan de tests Lot 1'!$I$4:$I$54,"OK")</f>
        <v>2</v>
      </c>
      <c r="D16" s="19" t="n">
        <f aca="false" t="array" ref="D16:D16">COUNTIFS('Plan de tests Lot 1'!$B$4:$B$54,A16,'Plan de tests Lot 1'!$I$4:$I$54,"KO")</f>
        <v>0</v>
      </c>
      <c r="E16" s="3"/>
    </row>
    <row r="17" customFormat="false" ht="14.25" hidden="false" customHeight="true" outlineLevel="0" collapsed="false">
      <c r="A17" s="18" t="s">
        <v>161</v>
      </c>
      <c r="B17" s="19" t="n">
        <f aca="false" t="array" ref="B17:B17">COUNTIF('Plan de tests Lot 1'!$B$4:$B$54,A17)</f>
        <v>8</v>
      </c>
      <c r="C17" s="19" t="n">
        <f aca="false" t="array" ref="C17:C17">COUNTIFS('Plan de tests Lot 1'!$B$4:$B$54,A17,'Plan de tests Lot 1'!$I$4:$I$54,"OK")</f>
        <v>8</v>
      </c>
      <c r="D17" s="19" t="n">
        <f aca="false" t="array" ref="D17:D17">COUNTIFS('Plan de tests Lot 1'!$B$4:$B$54,A17,'Plan de tests Lot 1'!$I$4:$I$54,"KO")</f>
        <v>0</v>
      </c>
      <c r="E17" s="3"/>
    </row>
    <row r="18" customFormat="false" ht="14.25" hidden="false" customHeight="true" outlineLevel="0" collapsed="false">
      <c r="A18" s="18" t="s">
        <v>206</v>
      </c>
      <c r="B18" s="19" t="n">
        <f aca="false" t="array" ref="B18:B18">COUNTIF('Plan de tests Lot 1'!$B$4:$B$54,A18)</f>
        <v>2</v>
      </c>
      <c r="C18" s="19" t="n">
        <f aca="false" t="array" ref="C18:C18">COUNTIFS('Plan de tests Lot 1'!$B$4:$B$54,A18,'Plan de tests Lot 1'!$I$4:$I$54,"OK")</f>
        <v>2</v>
      </c>
      <c r="D18" s="19" t="n">
        <f aca="false" t="array" ref="D18:D18">COUNTIFS('Plan de tests Lot 1'!$B$4:$B$54,A18,'Plan de tests Lot 1'!$I$4:$I$54,"KO")</f>
        <v>0</v>
      </c>
      <c r="E18" s="3"/>
    </row>
    <row r="19" customFormat="false" ht="14.25" hidden="false" customHeight="true" outlineLevel="0" collapsed="false">
      <c r="A19" s="18" t="s">
        <v>272</v>
      </c>
      <c r="B19" s="19" t="n">
        <f aca="false" t="array" ref="B19:B19">COUNTIF('Plan de tests Lot 1'!$B$4:$B$54,A19)</f>
        <v>4</v>
      </c>
      <c r="C19" s="19" t="n">
        <f aca="false" t="array" ref="C19:C19">COUNTIFS('Plan de tests Lot 1'!$B$4:$B$54,A19,'Plan de tests Lot 1'!$I$4:$I$54,"OK")</f>
        <v>4</v>
      </c>
      <c r="D19" s="19" t="n">
        <f aca="false" t="array" ref="D19:D19">COUNTIFS('Plan de tests Lot 1'!$B$4:$B$54,A19,'Plan de tests Lot 1'!$I$4:$I$54,"KO")</f>
        <v>0</v>
      </c>
    </row>
    <row r="20" customFormat="false" ht="14.25" hidden="false" customHeight="true" outlineLevel="0" collapsed="false">
      <c r="A20" s="18" t="s">
        <v>296</v>
      </c>
      <c r="B20" s="19" t="n">
        <f aca="false" t="array" ref="B20:B20">COUNTIF('Plan de tests Lot 1'!$B$4:$B$54,A20)</f>
        <v>3</v>
      </c>
      <c r="C20" s="19" t="n">
        <f aca="false" t="array" ref="C20:C20">COUNTIFS('Plan de tests Lot 1'!$B$4:$B$54,A20,'Plan de tests Lot 1'!$I$4:$I$54,"OK")</f>
        <v>3</v>
      </c>
      <c r="D20" s="19" t="n">
        <f aca="false" t="array" ref="D20:D20">COUNTIFS('Plan de tests Lot 1'!$B$4:$B$54,A20,'Plan de tests Lot 1'!$I$4:$I$54,"KO")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 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6"/>
    <col collapsed="false" customWidth="true" hidden="false" outlineLevel="0" max="7" min="7" style="1" width="12"/>
    <col collapsed="false" customWidth="true" hidden="false" outlineLevel="0" max="9" min="8" style="1" width="14"/>
    <col collapsed="false" customWidth="false" hidden="false" outlineLevel="0" max="16384" min="10" style="1" width="8.68"/>
  </cols>
  <sheetData>
    <row r="1" customFormat="false" ht="14.25" hidden="false" customHeight="true" outlineLevel="0" collapsed="false">
      <c r="A1" s="17" t="s">
        <v>321</v>
      </c>
      <c r="B1" s="17" t="s">
        <v>322</v>
      </c>
      <c r="C1" s="17" t="s">
        <v>323</v>
      </c>
      <c r="D1" s="17" t="s">
        <v>324</v>
      </c>
      <c r="E1" s="17" t="s">
        <v>325</v>
      </c>
      <c r="F1" s="17" t="s">
        <v>326</v>
      </c>
      <c r="G1" s="17" t="s">
        <v>9</v>
      </c>
      <c r="H1" s="17" t="s">
        <v>327</v>
      </c>
      <c r="I1" s="17" t="s">
        <v>328</v>
      </c>
    </row>
    <row r="2" customFormat="false" ht="13.5" hidden="false" customHeight="true" outlineLevel="0" collapsed="false">
      <c r="A2" s="21"/>
      <c r="B2" s="21"/>
      <c r="C2" s="21"/>
      <c r="D2" s="21"/>
      <c r="E2" s="21"/>
      <c r="F2" s="21"/>
      <c r="G2" s="21"/>
      <c r="H2" s="21"/>
      <c r="I2" s="21"/>
    </row>
    <row r="3" customFormat="false" ht="27" hidden="false" customHeight="true" outlineLevel="0" collapsed="false">
      <c r="A3" s="22" t="s">
        <v>329</v>
      </c>
      <c r="B3" s="22" t="s">
        <v>330</v>
      </c>
      <c r="C3" s="10" t="s">
        <v>331</v>
      </c>
      <c r="D3" s="22" t="s">
        <v>332</v>
      </c>
      <c r="E3" s="22" t="s">
        <v>333</v>
      </c>
      <c r="F3" s="23" t="s">
        <v>334</v>
      </c>
      <c r="G3" s="22" t="s">
        <v>335</v>
      </c>
      <c r="H3" s="24" t="n">
        <v>46321</v>
      </c>
      <c r="I3" s="24" t="n">
        <v>46323</v>
      </c>
    </row>
    <row r="4" customFormat="false" ht="36" hidden="false" customHeight="true" outlineLevel="0" collapsed="false">
      <c r="A4" s="22" t="s">
        <v>336</v>
      </c>
      <c r="B4" s="22" t="s">
        <v>123</v>
      </c>
      <c r="C4" s="8" t="s">
        <v>337</v>
      </c>
      <c r="D4" s="22" t="s">
        <v>338</v>
      </c>
      <c r="E4" s="25" t="s">
        <v>339</v>
      </c>
      <c r="F4" s="23" t="s">
        <v>340</v>
      </c>
      <c r="G4" s="22" t="s">
        <v>335</v>
      </c>
      <c r="H4" s="24" t="n">
        <v>46321</v>
      </c>
      <c r="I4" s="24" t="n">
        <v>46323</v>
      </c>
    </row>
    <row r="5" customFormat="false" ht="27" hidden="false" customHeight="true" outlineLevel="0" collapsed="false">
      <c r="A5" s="22" t="s">
        <v>341</v>
      </c>
      <c r="B5" s="22" t="s">
        <v>167</v>
      </c>
      <c r="C5" s="22" t="s">
        <v>342</v>
      </c>
      <c r="D5" s="22" t="s">
        <v>338</v>
      </c>
      <c r="E5" s="25" t="s">
        <v>339</v>
      </c>
      <c r="F5" s="23" t="s">
        <v>343</v>
      </c>
      <c r="G5" s="22" t="s">
        <v>335</v>
      </c>
      <c r="H5" s="24" t="n">
        <v>46321</v>
      </c>
      <c r="I5" s="24" t="n">
        <v>46323</v>
      </c>
    </row>
    <row r="6" customFormat="false" ht="27" hidden="false" customHeight="true" outlineLevel="0" collapsed="false">
      <c r="A6" s="22" t="s">
        <v>344</v>
      </c>
      <c r="B6" s="22" t="s">
        <v>183</v>
      </c>
      <c r="C6" s="22" t="s">
        <v>345</v>
      </c>
      <c r="D6" s="22" t="s">
        <v>338</v>
      </c>
      <c r="E6" s="25" t="s">
        <v>339</v>
      </c>
      <c r="F6" s="23" t="s">
        <v>346</v>
      </c>
      <c r="G6" s="22" t="s">
        <v>335</v>
      </c>
      <c r="H6" s="24" t="n">
        <v>46321</v>
      </c>
      <c r="I6" s="24" t="n">
        <v>46323</v>
      </c>
    </row>
    <row r="7" customFormat="false" ht="54.75" hidden="false" customHeight="true" outlineLevel="0" collapsed="false">
      <c r="A7" s="22" t="s">
        <v>347</v>
      </c>
      <c r="B7" s="22" t="s">
        <v>236</v>
      </c>
      <c r="C7" s="22" t="s">
        <v>348</v>
      </c>
      <c r="D7" s="22" t="s">
        <v>332</v>
      </c>
      <c r="E7" s="25" t="s">
        <v>349</v>
      </c>
      <c r="F7" s="23" t="s">
        <v>350</v>
      </c>
      <c r="G7" s="22" t="s">
        <v>351</v>
      </c>
      <c r="H7" s="24" t="n">
        <v>46324</v>
      </c>
      <c r="I7" s="24"/>
    </row>
    <row r="8" customFormat="false" ht="39.75" hidden="false" customHeight="true" outlineLevel="0" collapsed="false">
      <c r="A8" s="22" t="s">
        <v>352</v>
      </c>
      <c r="B8" s="22" t="s">
        <v>289</v>
      </c>
      <c r="C8" s="22" t="s">
        <v>353</v>
      </c>
      <c r="D8" s="22" t="s">
        <v>332</v>
      </c>
      <c r="E8" s="25" t="s">
        <v>349</v>
      </c>
      <c r="F8" s="23" t="s">
        <v>354</v>
      </c>
      <c r="G8" s="22" t="s">
        <v>351</v>
      </c>
      <c r="H8" s="24" t="n">
        <v>46324</v>
      </c>
      <c r="I8" s="24"/>
    </row>
    <row r="9" customFormat="false" ht="13.5" hidden="false" customHeight="true" outlineLevel="0" collapsed="false">
      <c r="A9" s="26"/>
      <c r="B9" s="26"/>
      <c r="C9" s="26"/>
      <c r="D9" s="21"/>
      <c r="E9" s="26"/>
      <c r="F9" s="26"/>
      <c r="G9" s="21"/>
      <c r="H9" s="26"/>
      <c r="I9" s="26"/>
    </row>
    <row r="10" customFormat="false" ht="13.5" hidden="false" customHeight="true" outlineLevel="0" collapsed="false">
      <c r="A10" s="26"/>
      <c r="B10" s="26"/>
      <c r="C10" s="26"/>
      <c r="D10" s="21"/>
      <c r="E10" s="26"/>
      <c r="F10" s="26"/>
      <c r="G10" s="21"/>
      <c r="H10" s="26"/>
      <c r="I10" s="26"/>
    </row>
    <row r="11" customFormat="false" ht="13.5" hidden="false" customHeight="true" outlineLevel="0" collapsed="false">
      <c r="A11" s="26"/>
      <c r="B11" s="26"/>
      <c r="C11" s="26"/>
      <c r="D11" s="21"/>
      <c r="E11" s="26"/>
      <c r="F11" s="26"/>
      <c r="G11" s="21"/>
      <c r="H11" s="26"/>
      <c r="I11" s="26"/>
    </row>
    <row r="12" customFormat="false" ht="13.5" hidden="false" customHeight="true" outlineLevel="0" collapsed="false">
      <c r="A12" s="26"/>
      <c r="B12" s="26"/>
      <c r="C12" s="26"/>
      <c r="D12" s="21"/>
      <c r="E12" s="26"/>
      <c r="F12" s="26"/>
      <c r="G12" s="21"/>
      <c r="H12" s="26"/>
      <c r="I12" s="26"/>
    </row>
    <row r="13" customFormat="false" ht="13.5" hidden="false" customHeight="true" outlineLevel="0" collapsed="false">
      <c r="A13" s="26"/>
      <c r="B13" s="26"/>
      <c r="C13" s="26"/>
      <c r="D13" s="21"/>
      <c r="E13" s="26"/>
      <c r="F13" s="26"/>
      <c r="G13" s="21"/>
      <c r="H13" s="26"/>
      <c r="I13" s="26"/>
    </row>
    <row r="14" customFormat="false" ht="13.5" hidden="false" customHeight="true" outlineLevel="0" collapsed="false">
      <c r="A14" s="26"/>
      <c r="B14" s="26"/>
      <c r="C14" s="26"/>
      <c r="D14" s="21"/>
      <c r="E14" s="26"/>
      <c r="F14" s="26"/>
      <c r="G14" s="21"/>
      <c r="H14" s="26"/>
      <c r="I14" s="26"/>
    </row>
    <row r="15" customFormat="false" ht="13.5" hidden="false" customHeight="true" outlineLevel="0" collapsed="false">
      <c r="A15" s="26"/>
      <c r="B15" s="26"/>
      <c r="C15" s="26"/>
      <c r="D15" s="21"/>
      <c r="E15" s="26"/>
      <c r="F15" s="26"/>
      <c r="G15" s="21"/>
      <c r="H15" s="26"/>
      <c r="I15" s="26"/>
    </row>
    <row r="16" customFormat="false" ht="13.5" hidden="false" customHeight="true" outlineLevel="0" collapsed="false">
      <c r="A16" s="26"/>
      <c r="B16" s="26"/>
      <c r="C16" s="26"/>
      <c r="D16" s="21"/>
      <c r="E16" s="26"/>
      <c r="F16" s="26"/>
      <c r="G16" s="21"/>
      <c r="H16" s="26"/>
      <c r="I16" s="26"/>
    </row>
    <row r="17" customFormat="false" ht="13.5" hidden="false" customHeight="true" outlineLevel="0" collapsed="false">
      <c r="A17" s="26"/>
      <c r="B17" s="26"/>
      <c r="C17" s="26"/>
      <c r="D17" s="21"/>
      <c r="E17" s="26"/>
      <c r="F17" s="26"/>
      <c r="G17" s="21"/>
      <c r="H17" s="26"/>
      <c r="I17" s="26"/>
    </row>
    <row r="18" customFormat="false" ht="13.5" hidden="false" customHeight="true" outlineLevel="0" collapsed="false">
      <c r="A18" s="26"/>
      <c r="B18" s="26"/>
      <c r="C18" s="26"/>
      <c r="D18" s="21"/>
      <c r="E18" s="26"/>
      <c r="F18" s="26"/>
      <c r="G18" s="21"/>
      <c r="H18" s="26"/>
      <c r="I18" s="26"/>
    </row>
    <row r="19" customFormat="false" ht="13.5" hidden="false" customHeight="true" outlineLevel="0" collapsed="false">
      <c r="A19" s="26"/>
      <c r="B19" s="26"/>
      <c r="C19" s="26"/>
      <c r="D19" s="21"/>
      <c r="E19" s="26"/>
      <c r="F19" s="26"/>
      <c r="G19" s="21"/>
      <c r="H19" s="26"/>
      <c r="I19" s="26"/>
    </row>
    <row r="20" customFormat="false" ht="13.5" hidden="false" customHeight="true" outlineLevel="0" collapsed="false">
      <c r="A20" s="26"/>
      <c r="B20" s="26"/>
      <c r="C20" s="26"/>
      <c r="D20" s="21"/>
      <c r="E20" s="26"/>
      <c r="F20" s="26"/>
      <c r="G20" s="21"/>
      <c r="H20" s="26"/>
      <c r="I20" s="26"/>
    </row>
    <row r="21" customFormat="false" ht="13.5" hidden="false" customHeight="true" outlineLevel="0" collapsed="false">
      <c r="A21" s="26"/>
      <c r="B21" s="26"/>
      <c r="C21" s="26"/>
      <c r="D21" s="21"/>
      <c r="E21" s="26"/>
      <c r="F21" s="26"/>
      <c r="G21" s="21"/>
      <c r="H21" s="26"/>
      <c r="I21" s="26"/>
    </row>
    <row r="22" customFormat="false" ht="13.5" hidden="false" customHeight="true" outlineLevel="0" collapsed="false">
      <c r="A22" s="26"/>
      <c r="B22" s="26"/>
      <c r="C22" s="26"/>
      <c r="D22" s="21"/>
      <c r="E22" s="26"/>
      <c r="F22" s="26"/>
      <c r="G22" s="21"/>
      <c r="H22" s="26"/>
      <c r="I22" s="26"/>
    </row>
    <row r="23" customFormat="false" ht="13.5" hidden="false" customHeight="true" outlineLevel="0" collapsed="false">
      <c r="A23" s="26"/>
      <c r="B23" s="26"/>
      <c r="C23" s="26"/>
      <c r="D23" s="21"/>
      <c r="E23" s="26"/>
      <c r="F23" s="26"/>
      <c r="G23" s="21"/>
      <c r="H23" s="26"/>
      <c r="I23" s="26"/>
    </row>
    <row r="24" customFormat="false" ht="13.5" hidden="false" customHeight="true" outlineLevel="0" collapsed="false">
      <c r="A24" s="26"/>
      <c r="B24" s="26"/>
      <c r="C24" s="26"/>
      <c r="D24" s="21"/>
      <c r="E24" s="26"/>
      <c r="F24" s="26"/>
      <c r="G24" s="21"/>
      <c r="H24" s="26"/>
      <c r="I24" s="26"/>
    </row>
    <row r="25" customFormat="false" ht="13.5" hidden="false" customHeight="true" outlineLevel="0" collapsed="false">
      <c r="A25" s="26"/>
      <c r="B25" s="26"/>
      <c r="C25" s="26"/>
      <c r="D25" s="21"/>
      <c r="E25" s="26"/>
      <c r="F25" s="26"/>
      <c r="G25" s="21"/>
      <c r="H25" s="26"/>
      <c r="I25" s="26"/>
    </row>
    <row r="26" customFormat="false" ht="13.5" hidden="false" customHeight="true" outlineLevel="0" collapsed="false">
      <c r="A26" s="26"/>
      <c r="B26" s="26"/>
      <c r="C26" s="26"/>
      <c r="D26" s="21"/>
      <c r="E26" s="26"/>
      <c r="F26" s="26"/>
      <c r="G26" s="21"/>
      <c r="H26" s="26"/>
      <c r="I26" s="26"/>
    </row>
    <row r="27" customFormat="false" ht="13.5" hidden="false" customHeight="true" outlineLevel="0" collapsed="false">
      <c r="A27" s="26"/>
      <c r="B27" s="26"/>
      <c r="C27" s="26"/>
      <c r="D27" s="21"/>
      <c r="E27" s="26"/>
      <c r="F27" s="26"/>
      <c r="G27" s="21"/>
      <c r="H27" s="26"/>
      <c r="I27" s="26"/>
    </row>
    <row r="28" customFormat="false" ht="13.5" hidden="false" customHeight="true" outlineLevel="0" collapsed="false">
      <c r="A28" s="26"/>
      <c r="B28" s="26"/>
      <c r="C28" s="26"/>
      <c r="D28" s="21"/>
      <c r="E28" s="26"/>
      <c r="F28" s="26"/>
      <c r="G28" s="21"/>
      <c r="H28" s="26"/>
      <c r="I28" s="26"/>
    </row>
    <row r="29" customFormat="false" ht="13.5" hidden="false" customHeight="true" outlineLevel="0" collapsed="false">
      <c r="A29" s="26"/>
      <c r="B29" s="26"/>
      <c r="C29" s="26"/>
      <c r="D29" s="21"/>
      <c r="E29" s="26"/>
      <c r="F29" s="26"/>
      <c r="G29" s="21"/>
      <c r="H29" s="26"/>
      <c r="I29" s="26"/>
    </row>
    <row r="30" customFormat="false" ht="13.5" hidden="false" customHeight="true" outlineLevel="0" collapsed="false">
      <c r="A30" s="26"/>
      <c r="B30" s="26"/>
      <c r="C30" s="26"/>
      <c r="D30" s="21"/>
      <c r="E30" s="26"/>
      <c r="F30" s="26"/>
      <c r="G30" s="21"/>
      <c r="H30" s="26"/>
      <c r="I30" s="26"/>
    </row>
    <row r="31" customFormat="false" ht="13.5" hidden="false" customHeight="true" outlineLevel="0" collapsed="false">
      <c r="A31" s="26"/>
      <c r="B31" s="26"/>
      <c r="C31" s="26"/>
      <c r="D31" s="21"/>
      <c r="E31" s="26"/>
      <c r="F31" s="26"/>
      <c r="G31" s="21"/>
      <c r="H31" s="26"/>
      <c r="I31" s="26"/>
    </row>
  </sheetData>
  <dataValidations count="2">
    <dataValidation allowBlank="true" errorStyle="stop" operator="between" showDropDown="false" showErrorMessage="true" showInputMessage="true" sqref="D3:D31" type="list">
      <formula1>"Faible,Moyenne,Haute,Bloquante"</formula1>
      <formula2>0</formula2>
    </dataValidation>
    <dataValidation allowBlank="true" errorStyle="stop" operator="between" showDropDown="false" showErrorMessage="true" showInputMessage="true" sqref="G3:G31" type="list">
      <formula1>"Ouvert,En cours,Corrigé,Retesté OK"</formula1>
      <formula2>0</formula2>
    </dataValidation>
  </dataValidations>
  <hyperlinks>
    <hyperlink ref="F3" r:id="rId1" display="https://github.com/Rayanxdn/Skull_Game_M1S1/issues/14"/>
    <hyperlink ref="F4" r:id="rId2" display="https://github.com/Rayanxdn/Skull_Game_M1S1/issues/15"/>
    <hyperlink ref="F5" r:id="rId3" display="https://github.com/Rayanxdn/Skull_Game_M1S1/issues/16"/>
    <hyperlink ref="F6" r:id="rId4" display="https://github.com/Rayanxdn/Skull_Game_M1S1/issues/18"/>
    <hyperlink ref="F7" r:id="rId5" display="https://github.com/Rayanxdn/Skull_Game_M1S1/issues/20"/>
    <hyperlink ref="F8" r:id="rId6" display="https://github.com/Rayanxdn/Skull_Game_M1S1/issues/21"/>
  </hyperlinks>
  <printOptions headings="false" gridLines="false" gridLinesSet="true" horizontalCentered="false" verticalCentered="false"/>
  <pageMargins left="0.75" right="0.75" top="1" bottom="1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2026-10-29T15:58:59Z</dcterms:created>
  <dc:creator>openpyxl</dc:creator>
  <dc:description/>
  <dc:language>en-US</dc:language>
  <cp:lastModifiedBy/>
  <dcterms:modified xsi:type="dcterms:W3CDTF">2026-10-29T15:59:00Z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