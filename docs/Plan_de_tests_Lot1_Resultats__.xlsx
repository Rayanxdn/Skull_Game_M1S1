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lan de tests Lot 1" sheetId="1" r:id="rId5"/>
    <sheet name="Synthèse" sheetId="2" r:id="rId6"/>
    <sheet name="Anomalies" sheetId="3" r:id="rId7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<sst xmlns="http://schemas.openxmlformats.org/spreadsheetml/2006/main" uniqueCount="251">
  <si>
    <t>Plan de tests – Lot 1 – Projet Skull M1S1</t>
  </si>
  <si>
    <t>ID</t>
  </si>
  <si>
    <t>Domaine</t>
  </si>
  <si>
    <t>Scénario (ce que je fais)</t>
  </si>
  <si>
    <t>Requête (à adapter)</t>
  </si>
  <si>
    <t>Résultat attendu</t>
  </si>
  <si>
    <t>Code HTTP attendu</t>
  </si>
  <si>
    <t>Résultat obtenu</t>
  </si>
  <si>
    <t>Code HTTP obtenu</t>
  </si>
  <si>
    <t>Statut</t>
  </si>
  <si>
    <t>Testeur</t>
  </si>
  <si>
    <t>Date</t>
  </si>
  <si>
    <t>Remarques / n° issue</t>
  </si>
  <si>
    <t>T01</t>
  </si>
  <si>
    <t>Inscription</t>
  </si>
  <si>
    <t>Inscription avec email et mot de passe valides</t>
  </si>
  <si>
    <t>POST /api/v1/players/register {email, password}</t>
  </si>
  <si>
    <t>Compte créé ; le mot de passe n'apparaît pas dans la réponse</t>
  </si>
  <si>
    <t>Compte créé : id 2, pseudo, email, banned false. Mot de passe absent de la réponse.</t>
  </si>
  <si>
    <t>OK</t>
  </si>
  <si>
    <t>Rania</t>
  </si>
  <si>
    <t>capture : T01_inscription_valide_201.png</t>
  </si>
  <si>
    <t>T02</t>
  </si>
  <si>
    <t>Inscription avec un email déjà utilisé</t>
  </si>
  <si>
    <t>POST /api/v1/players/register (même email)</t>
  </si>
  <si>
    <t>Message « email déjà utilisé »</t>
  </si>
  <si>
    <t>« Cet email est déjà utilisé »</t>
  </si>
  <si>
    <t>T02_email_deja_utilise_409.png</t>
  </si>
  <si>
    <t>T03</t>
  </si>
  <si>
    <t>Inscription avec un email invalide (ex : abc)</t>
  </si>
  <si>
    <t>POST /api/v1/players/register {email:'abc'}</t>
  </si>
  <si>
    <t>Erreur de validation</t>
  </si>
  <si>
    <t>invalidParams : email = « Format invalide</t>
  </si>
  <si>
    <t>capture : T03_email_invalide_400.png</t>
  </si>
  <si>
    <t>T04</t>
  </si>
  <si>
    <t>Inscription sans mot de passe</t>
  </si>
  <si>
    <t>POST /api/v1/players/register {email}</t>
  </si>
  <si>
    <t>invalidParams : password = « Mot de passe obligatoire »</t>
  </si>
  <si>
    <t>capture : T04_mot_de_passe_manquant_400.png</t>
  </si>
  <si>
    <t>T05</t>
  </si>
  <si>
    <t>Inscription avec corps vide</t>
  </si>
  <si>
    <t>POST /api/v1/players/register {}</t>
  </si>
  <si>
    <t>invalidParams : password, pseudo et email signalés</t>
  </si>
  <si>
    <t>capture : T05_corps_vide_400.png</t>
  </si>
  <si>
    <t>T06</t>
  </si>
  <si>
    <t>Connexion</t>
  </si>
  <si>
    <t>Connexion avec identifiants corrects</t>
  </si>
  <si>
    <t>POST /api/v1/auth/login {email, password}</t>
  </si>
  <si>
    <t>Un token JWT est renvoyé</t>
  </si>
  <si>
    <t>Token JWT renvoyé, id 2, rôle USER</t>
  </si>
  <si>
    <t>capture : T06_connexion_ok_200.png</t>
  </si>
  <si>
    <t>T07</t>
  </si>
  <si>
    <t>Connexion avec mauvais mot de passe</t>
  </si>
  <si>
    <t>POST /api/v1/auth/login (mauvais mdp)</t>
  </si>
  <si>
    <t>« Email ou mot de passe incorrect », pas de token</t>
  </si>
  <si>
    <t>capture : T07_mauvais_mdp_401.png</t>
  </si>
  <si>
    <t>T08</t>
  </si>
  <si>
    <t>Connexion avec un email inconnu</t>
  </si>
  <si>
    <t>POST /api/v1/auth/login (email inexistant)</t>
  </si>
  <si>
    <t>« Email ou mot de passe incorrect », même message que T07, pas de token</t>
  </si>
  <si>
    <t>capture : T08_email_inconnu_401.png</t>
  </si>
  <si>
    <t>T09</t>
  </si>
  <si>
    <t>Connexion avec corps vide</t>
  </si>
  <si>
    <t>POST /api/v1/auth/login {}</t>
  </si>
  <si>
    <t>invalidParams : password et email signalés</t>
  </si>
  <si>
    <t>capture : T09_login_corps_vide_400.png</t>
  </si>
  <si>
    <t>T10</t>
  </si>
  <si>
    <t>Sécurité JWT</t>
  </si>
  <si>
    <t>Lire un compte sans token</t>
  </si>
  <si>
    <t>GET /api/v1/players/{id} (sans en-tête Authorization)</t>
  </si>
  <si>
    <t>Accès refusé</t>
  </si>
  <si>
    <r>
      <rPr>
        <sz val="8"/>
        <color indexed="8"/>
        <rFont val="Courier"/>
      </rPr>
      <t>accès refusé sans token, réponse sans contenu</t>
    </r>
    <r>
      <rPr>
        <sz val="12"/>
        <color indexed="8"/>
        <rFont val="Times Roman"/>
      </rPr>
      <t xml:space="preserve">
</t>
    </r>
  </si>
  <si>
    <t>capture : T10_sans_token_401.png</t>
  </si>
  <si>
    <t>T11</t>
  </si>
  <si>
    <t>Lire un compte avec un token invalide</t>
  </si>
  <si>
    <t>GET /api/v1/players/{id} (Bearer abc123)</t>
  </si>
  <si>
    <t>accès refusé avec un faux token, réponse sans contenu</t>
  </si>
  <si>
    <t>capture : T11_token_invalide_401.png</t>
  </si>
  <si>
    <t>T12</t>
  </si>
  <si>
    <t>Lire son propre compte avec un token valide</t>
  </si>
  <si>
    <t>GET /api/v1/players/{id} (Bearer &lt;token&gt;, son id)</t>
  </si>
  <si>
    <t>Infos du joueur, sans mot de passe</t>
  </si>
  <si>
    <t>infos du compte id 2, sans mot de passe</t>
  </si>
  <si>
    <t>capture : T12_compte_avec_token_200.png</t>
  </si>
  <si>
    <t>T13</t>
  </si>
  <si>
    <t>Lire un compte avec un token expiré</t>
  </si>
  <si>
    <t>GET /api/v1/players/{id} (token expiré)</t>
  </si>
  <si>
    <t>401 avec un token créé à 20h18 et testé à 21h45(plus d'une heure après)</t>
  </si>
  <si>
    <t>capture : T13_token_expire_401.png. Le même token donnait 200 avant (T12 à T19), durée de vie d'environ 1 h</t>
  </si>
  <si>
    <t>T14</t>
  </si>
  <si>
    <t>Lister tous les joueurs sans token</t>
  </si>
  <si>
    <t>GET /api/v1/players</t>
  </si>
  <si>
    <t>liste des joueurs refusée sans token</t>
  </si>
  <si>
    <t>capture : T14_liste_sans_token_401.png</t>
  </si>
  <si>
    <t>T15</t>
  </si>
  <si>
    <t>Permissions</t>
  </si>
  <si>
    <t>Un joueur lit le compte d'un autre joueur</t>
  </si>
  <si>
    <t>GET /api/v1/players/{id autre} (token joueur)</t>
  </si>
  <si>
    <t>Accès interdit</t>
  </si>
  <si>
    <t>« Accès refusé », le joueur 2 ne peut pas lire le compte du joueur 3</t>
  </si>
  <si>
    <t>capture : T15_lire_autre_compte_403.png</t>
  </si>
  <si>
    <t>T16</t>
  </si>
  <si>
    <t>Un joueur modifie le compte d'un autre joueur</t>
  </si>
  <si>
    <t>PUT /api/v1/players/{id autre} (token joueur)</t>
  </si>
  <si>
    <t>« Accès refusé », le joueur 2 ne peut pas modifier le compte du joueur 3</t>
  </si>
  <si>
    <t>capture : T16_1/2modifier_autre_compte_403.png</t>
  </si>
  <si>
    <t>T17</t>
  </si>
  <si>
    <t>Un joueur supprime le compte d'un autre joueur</t>
  </si>
  <si>
    <t>DELETE /api/v1/players/{id autre} (token joueur)</t>
  </si>
  <si>
    <t>« Accès refusé », le joueur 2 ne peut pas supprimer le compte du joueur 3</t>
  </si>
  <si>
    <t>capture : T17_supprimer_autre_compte_403.png</t>
  </si>
  <si>
    <t>T18</t>
  </si>
  <si>
    <t>Un joueur modifie son propre compte</t>
  </si>
  <si>
    <t>PUT /api/v1/players/{son id} (token joueur)</t>
  </si>
  <si>
    <t>Compte mis à jour</t>
  </si>
  <si>
    <r>
      <rPr>
        <sz val="8"/>
        <color indexed="8"/>
        <rFont val="Courier"/>
      </rPr>
      <t>pseudo modifié en « rania_modifie », email et id inchangés</t>
    </r>
    <r>
      <rPr>
        <sz val="8"/>
        <color indexed="8"/>
        <rFont val="Times Roman"/>
      </rPr>
      <t xml:space="preserve">
</t>
    </r>
  </si>
  <si>
    <t>capture : T18_modifier_propre_compte_200.png</t>
  </si>
  <si>
    <t>T19</t>
  </si>
  <si>
    <t>Modifier son email vers un email déjà pris</t>
  </si>
  <si>
    <t>PUT /api/v1/players/{son id} {email d'un autre}</t>
  </si>
  <si>
    <t>Message propre « email déjà utilisé »</t>
  </si>
  <si>
    <t>« Cet email est déjà utilisé par un autre compte ! », pas d'erreur SQL</t>
  </si>
  <si>
    <t>capture : T19_email_deja_pris_409.png</t>
  </si>
  <si>
    <t>T20</t>
  </si>
  <si>
    <t>Un joueur normal liste tous les joueurs</t>
  </si>
  <si>
    <t>GET /api/v1/players (token joueur)</t>
  </si>
  <si>
    <t>Accès interdit (réservé à l'admin)</t>
  </si>
  <si>
    <r>
      <rPr>
        <sz val="8"/>
        <color indexed="8"/>
        <rFont val="Courier"/>
      </rPr>
      <t>401 avec un token valide (le même token donne 200 sur /players/2)</t>
    </r>
    <r>
      <rPr>
        <sz val="8"/>
        <color indexed="8"/>
        <rFont val="Times Roman"/>
      </rPr>
      <t xml:space="preserve">
</t>
    </r>
  </si>
  <si>
    <t>KO</t>
  </si>
  <si>
    <t>capture : T20_liste_joueur_connecte_401.png</t>
  </si>
  <si>
    <t>T21</t>
  </si>
  <si>
    <t>L'admin lit le compte d'un autre joueur</t>
  </si>
  <si>
    <t>GET /api/v1/players/{id} (token admin)</t>
  </si>
  <si>
    <t>Infos du joueur</t>
  </si>
  <si>
    <t>infos du compte id 3 (rania_test2), sans mot de passe</t>
  </si>
  <si>
    <t>capture : T21_admin_lit_compte_200.png</t>
  </si>
  <si>
    <t>T22</t>
  </si>
  <si>
    <t>Un joueur supprime son propre compte</t>
  </si>
  <si>
    <t>DELETE /api/v1/players/{son id} (token joueur)</t>
  </si>
  <si>
    <t>Compte supprimé</t>
  </si>
  <si>
    <t>compte supprimé par son propriétaire, réponse vide</t>
  </si>
  <si>
    <t>capture : T22_supprimer_propre_compte_204.png. Vérification : connexion ensuite refusée (401)</t>
  </si>
  <si>
    <t>T23</t>
  </si>
  <si>
    <t>Supprimer un joueur inexistant</t>
  </si>
  <si>
    <t>DELETE /api/v1/players/99999 (token admin)</t>
  </si>
  <si>
    <t>« Joueur non trouvé »</t>
  </si>
  <si>
    <t>« Joueur non trouvé », pas d'erreur interne</t>
  </si>
  <si>
    <t>capture : T23_supprimer_inexistant_404.png. Token admin</t>
  </si>
  <si>
    <t>T24</t>
  </si>
  <si>
    <t>Admin</t>
  </si>
  <si>
    <t>Le compte admin existe au premier démarrage</t>
  </si>
  <si>
    <t>POST /api/v1/auth/login (compte admin)</t>
  </si>
  <si>
    <t>Connexion admin réussie</t>
  </si>
  <si>
    <t>token renvoyé, id 1, pseudo Admin, rôle ADMIN</t>
  </si>
  <si>
    <t>capture : T24_login_admin_200.png</t>
  </si>
  <si>
    <t>T25</t>
  </si>
  <si>
    <t>L'admin liste les joueurs</t>
  </si>
  <si>
    <t>GET /api/v1/players (token admin)</t>
  </si>
  <si>
    <t>Liste des joueurs</t>
  </si>
  <si>
    <t>liste de 3 joueurs (id 1, 2, 3), sans mot de passe</t>
  </si>
  <si>
    <t>capture : T25_liste_admin_200.png</t>
  </si>
  <si>
    <t>T26</t>
  </si>
  <si>
    <t>Bannissement</t>
  </si>
  <si>
    <t>L'admin bannit un joueur</t>
  </si>
  <si>
    <t>PUT /api/v1/players/{id}/ban?banned=true (token admin)</t>
  </si>
  <si>
    <t>Joueur marqué comme banni</t>
  </si>
  <si>
    <t>joueur 3 banni (banned true), par l'admin</t>
  </si>
  <si>
    <t>capture : T26_admin_banne_200.png. Token admin</t>
  </si>
  <si>
    <t>T27</t>
  </si>
  <si>
    <t>Un joueur normal tente de bannir quelqu'un</t>
  </si>
  <si>
    <t>PUT /api/v1/players/{id}/ban?banned=true (token joueur)</t>
  </si>
  <si>
    <t>401 avec un token joueur valide, ban non exécuté. Même comportement que T20</t>
  </si>
  <si>
    <t>capture : T27_ban_par_joueur_401.png. Le ban est refusé (sécurité OK) mais le code attendu était 403, cf. anomalie A02</t>
  </si>
  <si>
    <t>T28</t>
  </si>
  <si>
    <t>Bannir sans être connecté</t>
  </si>
  <si>
    <t>PUT /api/v1/players/{id}/ban?banned=true (sans token)</t>
  </si>
  <si>
    <t>bannir sans token refusé, compte non banni</t>
  </si>
  <si>
    <t>capture : T28_bannir_sans_token_401.png</t>
  </si>
  <si>
    <t>T29</t>
  </si>
  <si>
    <t>Un joueur banni tente de se connecter</t>
  </si>
  <si>
    <t>POST /api/v1/auth/login (compte banni)</t>
  </si>
  <si>
    <t>« Ce compte a été banni »</t>
  </si>
  <si>
    <t>« Ce compte a été banni », pas de token</t>
  </si>
  <si>
    <t>capture : T29_banni_se_connecte_403.png</t>
  </si>
  <si>
    <t>T30</t>
  </si>
  <si>
    <t>Un joueur banni réutilise un ancien token</t>
  </si>
  <si>
    <t>GET /api/v1/players/{son id} (token d'avant le ban)</t>
  </si>
  <si>
    <t>Avec le même token : 200 avant le ban, 401 après le ban (joueur 3 banni par l'admin)</t>
  </si>
  <si>
    <t>Accès refusé, mais 401 au lieu de 403. Même écart que T20 et T27. Cf. anomalie A02</t>
  </si>
  <si>
    <t>T31</t>
  </si>
  <si>
    <t>L'admin débannit un joueur</t>
  </si>
  <si>
    <t>PUT /api/v1/players/{id}/ban?banned=false (token admin)</t>
  </si>
  <si>
    <t>Joueur de nouveau actif</t>
  </si>
  <si>
    <t>joueur 3 débanni (banned false), par l'admin</t>
  </si>
  <si>
    <t>capture : T31_admin_debanne_200.png. Token admin</t>
  </si>
  <si>
    <t>T32</t>
  </si>
  <si>
    <t>Le joueur débanni peut se reconnecter</t>
  </si>
  <si>
    <t>POST /api/v1/auth/login (compte débanni)</t>
  </si>
  <si>
    <t>Connexion réussie</t>
  </si>
  <si>
    <t>token renvoyé, id 3, pseudo rania_test2, rôle USER</t>
  </si>
  <si>
    <t>capture : T32_debanni_se_connecte_200.png</t>
  </si>
  <si>
    <t>T33</t>
  </si>
  <si>
    <t>Bannir un joueur inexistant</t>
  </si>
  <si>
    <t>PUT /api/v1/players/99999/ban?banned=true (token admin)</t>
  </si>
  <si>
    <t>Erreur « joueur introuvable »</t>
  </si>
  <si>
    <t>capture : T33_bannir_inexistant_404.png. Token admin</t>
  </si>
  <si>
    <t>T34</t>
  </si>
  <si>
    <t>Infra</t>
  </si>
  <si>
    <t>Les 4 services répondent</t>
  </si>
  <si>
    <t>GET http://localhost:8081 à 8084 /ping</t>
  </si>
  <si>
    <t>Réponse OK sur chaque service</t>
  </si>
  <si>
    <t>Les 4 services répondent OK (ports 8081 à 8084)</t>
  </si>
  <si>
    <t>T35</t>
  </si>
  <si>
    <t>Les données persistent après redémarrage</t>
  </si>
  <si>
    <t>docker compose down puis up, puis login</t>
  </si>
  <si>
    <t>Le compte existe toujours</t>
  </si>
  <si>
    <t>Après docker compose down puis up (sans -v), connexion de rania_test réussie, pseudo rania_modifie conservé</t>
  </si>
  <si>
    <t>Ne pas utiliser « down -v » (efface la base) capture : T35_persistance_apres_redemarrage_200.png</t>
  </si>
  <si>
    <t>Synthèse des tests – Lot 1</t>
  </si>
  <si>
    <t>Nombre</t>
  </si>
  <si>
    <t>Part</t>
  </si>
  <si>
    <t>Bloqué</t>
  </si>
  <si>
    <t>À faire</t>
  </si>
  <si>
    <t>Total</t>
  </si>
  <si>
    <t>Par domaine</t>
  </si>
  <si>
    <t>N°</t>
  </si>
  <si>
    <t>Test concerné</t>
  </si>
  <si>
    <t>Description du bug</t>
  </si>
  <si>
    <t>Gravité</t>
  </si>
  <si>
    <t>Service / responsable</t>
  </si>
  <si>
    <t>Lien issue GitHub</t>
  </si>
  <si>
    <t>Date détection</t>
  </si>
  <si>
    <t>Date correction</t>
  </si>
  <si>
    <t>A01</t>
  </si>
  <si>
    <t>T03/ T04/T05/T09</t>
  </si>
  <si>
    <t>Le titre de l'erreur de validation contient une faute : « Erruer » au lieu de « Erreur »</t>
  </si>
  <si>
    <t>Faible</t>
  </si>
  <si>
    <t>PlayerService / Maxime</t>
  </si>
  <si>
    <r>
      <rPr>
        <u val="single"/>
        <sz val="10"/>
        <color indexed="20"/>
        <rFont val="Arial"/>
      </rPr>
      <t>https://github.com/Rayanxdn/Skull_Game_M1S1/issues/14</t>
    </r>
  </si>
  <si>
    <t>Ouvert</t>
  </si>
  <si>
    <t>A02</t>
  </si>
  <si>
    <t>GET /api/v1/players avec un token joueur valide renvoie 401 au lieu de 403. Le même token donne 200 sur GET /players/2.</t>
  </si>
  <si>
    <t>Moyenne</t>
  </si>
  <si>
    <t>PlayerService (sécurité, à confirmer)</t>
  </si>
  <si>
    <r>
      <rPr>
        <u val="single"/>
        <sz val="10"/>
        <color indexed="20"/>
        <rFont val="Arial"/>
      </rPr>
      <t>https://github.com/Rayanxdn/Skull_Game_M1S1/issues/15</t>
    </r>
  </si>
  <si>
    <t>A03</t>
  </si>
  <si>
    <t>Même comportement de T20 sur PUT /players/{id}/ban avec un token joueur valide.même comportement que A02</t>
  </si>
  <si>
    <r>
      <rPr>
        <u val="single"/>
        <sz val="10"/>
        <color indexed="20"/>
        <rFont val="Arial"/>
      </rPr>
      <t>https://github.com/Rayanxdn/Skull_Game_M1S1/issues/16</t>
    </r>
  </si>
  <si>
    <t>A04</t>
  </si>
  <si>
    <t>Un joueur banni utilisant un token valide reçoit 401 au lieu de 403.même comportement que A02</t>
  </si>
  <si>
    <r>
      <rPr>
        <u val="single"/>
        <sz val="10"/>
        <color indexed="20"/>
        <rFont val="Arial"/>
      </rPr>
      <t>https://github.com/Rayanxdn/Skull_Game_M1S1/issues/18</t>
    </r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</si>
</sst>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/yyyy"/>
  </numFmts>
  <fonts count="21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8"/>
      <name val="Arial"/>
    </font>
    <font>
      <sz val="9"/>
      <color indexed="9"/>
      <name val="Arial"/>
    </font>
    <font>
      <sz val="8"/>
      <color indexed="8"/>
      <name val="Arial"/>
    </font>
    <font>
      <sz val="9"/>
      <color indexed="8"/>
      <name val="Courier"/>
    </font>
    <font>
      <sz val="9"/>
      <color indexed="8"/>
      <name val="Times Roman"/>
    </font>
    <font>
      <sz val="10"/>
      <color indexed="8"/>
      <name val="Courier"/>
    </font>
    <font>
      <sz val="8"/>
      <color indexed="8"/>
      <name val="Courier"/>
    </font>
    <font>
      <sz val="8"/>
      <color indexed="17"/>
      <name val="Courier"/>
    </font>
    <font>
      <sz val="12"/>
      <color indexed="8"/>
      <name val="Times Roman"/>
    </font>
    <font>
      <sz val="10"/>
      <color indexed="8"/>
      <name val="Times Roman"/>
    </font>
    <font>
      <sz val="8"/>
      <color indexed="8"/>
      <name val="Times Roman"/>
    </font>
    <font>
      <sz val="14"/>
      <color indexed="8"/>
      <name val="Arial"/>
    </font>
    <font>
      <sz val="11"/>
      <color indexed="9"/>
      <name val="Arial"/>
    </font>
    <font>
      <sz val="11"/>
      <color indexed="8"/>
      <name val="Arial"/>
    </font>
    <font>
      <sz val="10"/>
      <color indexed="18"/>
      <name val="Arial"/>
    </font>
    <font>
      <sz val="10"/>
      <color indexed="8"/>
      <name val="Arial"/>
    </font>
    <font>
      <sz val="10"/>
      <color indexed="19"/>
      <name val="Courier"/>
    </font>
    <font>
      <u val="single"/>
      <sz val="10"/>
      <color indexed="2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49" fontId="4" fillId="3" borderId="3" applyNumberFormat="1" applyFont="1" applyFill="1" applyBorder="1" applyAlignment="1" applyProtection="0">
      <alignment horizontal="center" vertical="center" wrapText="1"/>
    </xf>
    <xf numFmtId="49" fontId="5" fillId="2" borderId="3" applyNumberFormat="1" applyFont="1" applyFill="1" applyBorder="1" applyAlignment="1" applyProtection="0">
      <alignment vertical="top" wrapText="1"/>
    </xf>
    <xf numFmtId="1" fontId="5" fillId="2" borderId="3" applyNumberFormat="1" applyFont="1" applyFill="1" applyBorder="1" applyAlignment="1" applyProtection="0">
      <alignment horizontal="center" vertical="top"/>
    </xf>
    <xf numFmtId="49" fontId="5" fillId="4" borderId="3" applyNumberFormat="1" applyFont="1" applyFill="1" applyBorder="1" applyAlignment="1" applyProtection="0">
      <alignment vertical="top" wrapText="1"/>
    </xf>
    <xf numFmtId="1" fontId="5" fillId="4" borderId="3" applyNumberFormat="1" applyFont="1" applyFill="1" applyBorder="1" applyAlignment="1" applyProtection="0">
      <alignment horizontal="center" vertical="top"/>
    </xf>
    <xf numFmtId="59" fontId="5" fillId="4" borderId="3" applyNumberFormat="1" applyFont="1" applyFill="1" applyBorder="1" applyAlignment="1" applyProtection="0">
      <alignment vertical="top" wrapText="1"/>
    </xf>
    <xf numFmtId="49" fontId="6" fillId="4" borderId="3" applyNumberFormat="1" applyFont="1" applyFill="1" applyBorder="1" applyAlignment="1" applyProtection="0">
      <alignment vertical="top" wrapText="1"/>
    </xf>
    <xf numFmtId="49" fontId="7" fillId="4" borderId="3" applyNumberFormat="1" applyFont="1" applyFill="1" applyBorder="1" applyAlignment="1" applyProtection="0">
      <alignment vertical="top" wrapText="1"/>
    </xf>
    <xf numFmtId="49" fontId="8" fillId="4" borderId="3" applyNumberFormat="1" applyFont="1" applyFill="1" applyBorder="1" applyAlignment="1" applyProtection="0">
      <alignment vertical="top" wrapText="1"/>
    </xf>
    <xf numFmtId="49" fontId="9" fillId="4" borderId="3" applyNumberFormat="1" applyFont="1" applyFill="1" applyBorder="1" applyAlignment="1" applyProtection="0">
      <alignment vertical="top" wrapText="1"/>
    </xf>
    <xf numFmtId="49" fontId="6" fillId="4" borderId="3" applyNumberFormat="1" applyFont="1" applyFill="1" applyBorder="1" applyAlignment="1" applyProtection="0">
      <alignment horizontal="left" vertical="top" wrapText="1"/>
    </xf>
    <xf numFmtId="49" fontId="10" fillId="4" borderId="3" applyNumberFormat="1" applyFont="1" applyFill="1" applyBorder="1" applyAlignment="1" applyProtection="0">
      <alignment vertical="top" wrapText="1"/>
    </xf>
    <xf numFmtId="49" fontId="12" fillId="4" borderId="3" applyNumberFormat="1" applyFont="1" applyFill="1" applyBorder="1" applyAlignment="1" applyProtection="0">
      <alignment vertical="top" wrapText="1"/>
    </xf>
    <xf numFmtId="49" fontId="13" fillId="4" borderId="3" applyNumberFormat="1" applyFont="1" applyFill="1" applyBorder="1" applyAlignment="1" applyProtection="0">
      <alignment vertical="top" wrapText="1"/>
    </xf>
    <xf numFmtId="1" fontId="5" fillId="4" borderId="3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bottom"/>
    </xf>
    <xf numFmtId="49" fontId="14" fillId="2" borderId="1" applyNumberFormat="1" applyFont="1" applyFill="1" applyBorder="1" applyAlignment="1" applyProtection="0">
      <alignment vertical="bottom"/>
    </xf>
    <xf numFmtId="49" fontId="15" fillId="3" borderId="3" applyNumberFormat="1" applyFont="1" applyFill="1" applyBorder="1" applyAlignment="1" applyProtection="0">
      <alignment horizontal="center" vertical="center" wrapText="1"/>
    </xf>
    <xf numFmtId="0" fontId="0" fillId="2" borderId="4" applyNumberFormat="0" applyFont="1" applyFill="1" applyBorder="1" applyAlignment="1" applyProtection="0">
      <alignment vertical="bottom"/>
    </xf>
    <xf numFmtId="49" fontId="16" fillId="2" borderId="3" applyNumberFormat="1" applyFont="1" applyFill="1" applyBorder="1" applyAlignment="1" applyProtection="0">
      <alignment vertical="bottom"/>
    </xf>
    <xf numFmtId="1" fontId="16" fillId="2" borderId="3" applyNumberFormat="1" applyFont="1" applyFill="1" applyBorder="1" applyAlignment="1" applyProtection="0">
      <alignment vertical="bottom"/>
    </xf>
    <xf numFmtId="9" fontId="16" fillId="2" borderId="3" applyNumberFormat="1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49" fontId="16" fillId="2" borderId="2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17" fillId="2" borderId="3" applyNumberFormat="0" applyFont="1" applyFill="1" applyBorder="1" applyAlignment="1" applyProtection="0">
      <alignment vertical="top" wrapText="1"/>
    </xf>
    <xf numFmtId="49" fontId="18" fillId="2" borderId="3" applyNumberFormat="1" applyFont="1" applyFill="1" applyBorder="1" applyAlignment="1" applyProtection="0">
      <alignment vertical="top" wrapText="1"/>
    </xf>
    <xf numFmtId="49" fontId="19" fillId="2" borderId="3" applyNumberFormat="1" applyFont="1" applyFill="1" applyBorder="1" applyAlignment="1" applyProtection="0">
      <alignment vertical="top" wrapText="1"/>
    </xf>
    <xf numFmtId="49" fontId="17" fillId="2" borderId="3" applyNumberFormat="1" applyFont="1" applyFill="1" applyBorder="1" applyAlignment="1" applyProtection="0">
      <alignment vertical="top" wrapText="1"/>
    </xf>
    <xf numFmtId="59" fontId="18" fillId="2" borderId="3" applyNumberFormat="1" applyFont="1" applyFill="1" applyBorder="1" applyAlignment="1" applyProtection="0">
      <alignment vertical="top" wrapText="1"/>
    </xf>
    <xf numFmtId="1" fontId="18" fillId="2" borderId="3" applyNumberFormat="1" applyFont="1" applyFill="1" applyBorder="1" applyAlignment="1" applyProtection="0">
      <alignment vertical="top" wrapText="1"/>
    </xf>
    <xf numFmtId="49" fontId="6" fillId="2" borderId="3" applyNumberFormat="1" applyFont="1" applyFill="1" applyBorder="1" applyAlignment="1" applyProtection="0">
      <alignment vertical="top" wrapText="1"/>
    </xf>
    <xf numFmtId="49" fontId="8" fillId="2" borderId="3" applyNumberFormat="1" applyFont="1" applyFill="1" applyBorder="1" applyAlignment="1" applyProtection="0">
      <alignment horizontal="left" vertical="top" wrapText="1"/>
    </xf>
    <xf numFmtId="0" fontId="18" fillId="2" borderId="3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2">
    <dxf>
      <fill>
        <patternFill patternType="solid">
          <fgColor indexed="14"/>
          <bgColor indexed="15"/>
        </patternFill>
      </fill>
    </dxf>
    <dxf>
      <fill>
        <patternFill patternType="solid">
          <fgColor indexed="14"/>
          <bgColor indexed="16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bbbbbb"/>
      <rgbColor rgb="ff1f3864"/>
      <rgbColor rgb="fffff2cc"/>
      <rgbColor rgb="00000000"/>
      <rgbColor rgb="ffc6efce"/>
      <rgbColor rgb="ffffeb9c"/>
      <rgbColor rgb="ff020202"/>
      <rgbColor rgb="ff808080"/>
      <rgbColor rgb="ff050505"/>
      <rgbColor rgb="ff00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github.com/Rayanxdn/Skull_Game_M1S1/issues/14" TargetMode="External"/><Relationship Id="rId2" Type="http://schemas.openxmlformats.org/officeDocument/2006/relationships/hyperlink" Target="https://github.com/Rayanxdn/Skull_Game_M1S1/issues/15" TargetMode="External"/><Relationship Id="rId3" Type="http://schemas.openxmlformats.org/officeDocument/2006/relationships/hyperlink" Target="https://github.com/Rayanxdn/Skull_Game_M1S1/issues/16" TargetMode="External"/><Relationship Id="rId4" Type="http://schemas.openxmlformats.org/officeDocument/2006/relationships/hyperlink" Target="https://github.com/Rayanxdn/Skull_Game_M1S1/issues/18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L38"/>
  <sheetViews>
    <sheetView workbookViewId="0" showGridLines="0" defaultGridColor="1"/>
  </sheetViews>
  <sheetFormatPr defaultColWidth="8.66667" defaultRowHeight="12.95" customHeight="1" outlineLevelRow="0" outlineLevelCol="0"/>
  <cols>
    <col min="1" max="1" width="7" style="1" customWidth="1"/>
    <col min="2" max="2" width="14" style="1" customWidth="1"/>
    <col min="3" max="4" width="42" style="1" customWidth="1"/>
    <col min="5" max="5" width="34" style="1" customWidth="1"/>
    <col min="6" max="6" width="11" style="1" customWidth="1"/>
    <col min="7" max="7" width="30" style="1" customWidth="1"/>
    <col min="8" max="9" width="11" style="1" customWidth="1"/>
    <col min="10" max="10" width="14" style="1" customWidth="1"/>
    <col min="11" max="11" width="12" style="1" customWidth="1"/>
    <col min="12" max="12" width="28" style="1" customWidth="1"/>
    <col min="13" max="16384" width="8.67188" style="1" customWidth="1"/>
  </cols>
  <sheetData>
    <row r="1" ht="16.6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12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ht="22.7" customHeight="1">
      <c r="A3" t="s" s="5">
        <v>1</v>
      </c>
      <c r="B3" t="s" s="5">
        <v>2</v>
      </c>
      <c r="C3" t="s" s="5">
        <v>3</v>
      </c>
      <c r="D3" t="s" s="5">
        <v>4</v>
      </c>
      <c r="E3" t="s" s="5">
        <v>5</v>
      </c>
      <c r="F3" t="s" s="5">
        <v>6</v>
      </c>
      <c r="G3" t="s" s="5">
        <v>7</v>
      </c>
      <c r="H3" t="s" s="5">
        <v>8</v>
      </c>
      <c r="I3" t="s" s="5">
        <v>9</v>
      </c>
      <c r="J3" t="s" s="5">
        <v>10</v>
      </c>
      <c r="K3" t="s" s="5">
        <v>11</v>
      </c>
      <c r="L3" t="s" s="5">
        <v>12</v>
      </c>
    </row>
    <row r="4" ht="25" customHeight="1">
      <c r="A4" t="s" s="6">
        <v>13</v>
      </c>
      <c r="B4" t="s" s="6">
        <v>14</v>
      </c>
      <c r="C4" t="s" s="6">
        <v>15</v>
      </c>
      <c r="D4" t="s" s="6">
        <v>16</v>
      </c>
      <c r="E4" t="s" s="6">
        <v>17</v>
      </c>
      <c r="F4" s="7">
        <v>201</v>
      </c>
      <c r="G4" t="s" s="8">
        <v>18</v>
      </c>
      <c r="H4" s="9">
        <v>201</v>
      </c>
      <c r="I4" t="s" s="8">
        <v>19</v>
      </c>
      <c r="J4" t="s" s="8">
        <v>20</v>
      </c>
      <c r="K4" s="10">
        <v>46321</v>
      </c>
      <c r="L4" t="s" s="11">
        <v>21</v>
      </c>
    </row>
    <row r="5" ht="11.7" customHeight="1">
      <c r="A5" t="s" s="6">
        <v>22</v>
      </c>
      <c r="B5" t="s" s="6">
        <v>14</v>
      </c>
      <c r="C5" t="s" s="6">
        <v>23</v>
      </c>
      <c r="D5" t="s" s="6">
        <v>24</v>
      </c>
      <c r="E5" t="s" s="6">
        <v>25</v>
      </c>
      <c r="F5" s="7">
        <v>409</v>
      </c>
      <c r="G5" t="s" s="8">
        <v>26</v>
      </c>
      <c r="H5" s="9">
        <v>409</v>
      </c>
      <c r="I5" t="s" s="8">
        <v>19</v>
      </c>
      <c r="J5" t="s" s="8">
        <v>20</v>
      </c>
      <c r="K5" s="10">
        <v>46321</v>
      </c>
      <c r="L5" t="s" s="8">
        <v>27</v>
      </c>
    </row>
    <row r="6" ht="25" customHeight="1">
      <c r="A6" t="s" s="6">
        <v>28</v>
      </c>
      <c r="B6" t="s" s="6">
        <v>14</v>
      </c>
      <c r="C6" t="s" s="6">
        <v>29</v>
      </c>
      <c r="D6" t="s" s="6">
        <v>30</v>
      </c>
      <c r="E6" t="s" s="6">
        <v>31</v>
      </c>
      <c r="F6" s="7">
        <v>400</v>
      </c>
      <c r="G6" t="s" s="12">
        <v>32</v>
      </c>
      <c r="H6" s="9">
        <v>400</v>
      </c>
      <c r="I6" t="s" s="8">
        <v>19</v>
      </c>
      <c r="J6" t="s" s="8">
        <v>20</v>
      </c>
      <c r="K6" s="10">
        <v>46321</v>
      </c>
      <c r="L6" t="s" s="11">
        <v>33</v>
      </c>
    </row>
    <row r="7" ht="27" customHeight="1">
      <c r="A7" t="s" s="6">
        <v>34</v>
      </c>
      <c r="B7" t="s" s="6">
        <v>14</v>
      </c>
      <c r="C7" t="s" s="6">
        <v>35</v>
      </c>
      <c r="D7" t="s" s="6">
        <v>36</v>
      </c>
      <c r="E7" t="s" s="6">
        <v>31</v>
      </c>
      <c r="F7" s="7">
        <v>400</v>
      </c>
      <c r="G7" t="s" s="13">
        <v>37</v>
      </c>
      <c r="H7" s="9">
        <v>400</v>
      </c>
      <c r="I7" t="s" s="8">
        <v>19</v>
      </c>
      <c r="J7" t="s" s="8">
        <v>20</v>
      </c>
      <c r="K7" s="10">
        <v>46321</v>
      </c>
      <c r="L7" t="s" s="14">
        <v>38</v>
      </c>
    </row>
    <row r="8" ht="27" customHeight="1">
      <c r="A8" t="s" s="6">
        <v>39</v>
      </c>
      <c r="B8" t="s" s="6">
        <v>14</v>
      </c>
      <c r="C8" t="s" s="6">
        <v>40</v>
      </c>
      <c r="D8" t="s" s="6">
        <v>41</v>
      </c>
      <c r="E8" t="s" s="6">
        <v>31</v>
      </c>
      <c r="F8" s="7">
        <v>400</v>
      </c>
      <c r="G8" t="s" s="13">
        <v>42</v>
      </c>
      <c r="H8" s="9">
        <v>400</v>
      </c>
      <c r="I8" t="s" s="8">
        <v>19</v>
      </c>
      <c r="J8" t="s" s="8">
        <v>20</v>
      </c>
      <c r="K8" s="10">
        <v>46321</v>
      </c>
      <c r="L8" t="s" s="14">
        <v>43</v>
      </c>
    </row>
    <row r="9" ht="27" customHeight="1">
      <c r="A9" t="s" s="6">
        <v>44</v>
      </c>
      <c r="B9" t="s" s="6">
        <v>45</v>
      </c>
      <c r="C9" t="s" s="6">
        <v>46</v>
      </c>
      <c r="D9" t="s" s="6">
        <v>47</v>
      </c>
      <c r="E9" t="s" s="6">
        <v>48</v>
      </c>
      <c r="F9" s="7">
        <v>200</v>
      </c>
      <c r="G9" t="s" s="13">
        <v>49</v>
      </c>
      <c r="H9" s="9">
        <v>200</v>
      </c>
      <c r="I9" t="s" s="8">
        <v>19</v>
      </c>
      <c r="J9" t="s" s="8">
        <v>20</v>
      </c>
      <c r="K9" s="10">
        <v>46321</v>
      </c>
      <c r="L9" t="s" s="8">
        <v>50</v>
      </c>
    </row>
    <row r="10" ht="27" customHeight="1">
      <c r="A10" t="s" s="6">
        <v>51</v>
      </c>
      <c r="B10" t="s" s="6">
        <v>45</v>
      </c>
      <c r="C10" t="s" s="6">
        <v>52</v>
      </c>
      <c r="D10" t="s" s="6">
        <v>53</v>
      </c>
      <c r="E10" t="s" s="6">
        <v>54</v>
      </c>
      <c r="F10" s="7">
        <v>401</v>
      </c>
      <c r="G10" t="s" s="13">
        <v>54</v>
      </c>
      <c r="H10" s="9">
        <v>401</v>
      </c>
      <c r="I10" t="s" s="8">
        <v>19</v>
      </c>
      <c r="J10" t="s" s="8">
        <v>20</v>
      </c>
      <c r="K10" s="10">
        <v>46321</v>
      </c>
      <c r="L10" t="s" s="8">
        <v>55</v>
      </c>
    </row>
    <row r="11" ht="23" customHeight="1">
      <c r="A11" t="s" s="6">
        <v>56</v>
      </c>
      <c r="B11" t="s" s="6">
        <v>45</v>
      </c>
      <c r="C11" t="s" s="6">
        <v>57</v>
      </c>
      <c r="D11" t="s" s="6">
        <v>58</v>
      </c>
      <c r="E11" t="s" s="6">
        <v>54</v>
      </c>
      <c r="F11" s="7">
        <v>401</v>
      </c>
      <c r="G11" t="s" s="14">
        <v>59</v>
      </c>
      <c r="H11" s="9">
        <v>401</v>
      </c>
      <c r="I11" t="s" s="8">
        <v>19</v>
      </c>
      <c r="J11" t="s" s="8">
        <v>20</v>
      </c>
      <c r="K11" s="10">
        <v>46321</v>
      </c>
      <c r="L11" t="s" s="8">
        <v>60</v>
      </c>
    </row>
    <row r="12" ht="25" customHeight="1">
      <c r="A12" t="s" s="6">
        <v>61</v>
      </c>
      <c r="B12" t="s" s="6">
        <v>45</v>
      </c>
      <c r="C12" t="s" s="6">
        <v>62</v>
      </c>
      <c r="D12" t="s" s="6">
        <v>63</v>
      </c>
      <c r="E12" t="s" s="6">
        <v>31</v>
      </c>
      <c r="F12" s="7">
        <v>400</v>
      </c>
      <c r="G12" t="s" s="15">
        <v>64</v>
      </c>
      <c r="H12" s="9">
        <v>400</v>
      </c>
      <c r="I12" t="s" s="8">
        <v>19</v>
      </c>
      <c r="J12" t="s" s="8">
        <v>20</v>
      </c>
      <c r="K12" s="10">
        <v>46321</v>
      </c>
      <c r="L12" t="s" s="16">
        <v>65</v>
      </c>
    </row>
    <row r="13" ht="37" customHeight="1">
      <c r="A13" t="s" s="6">
        <v>66</v>
      </c>
      <c r="B13" t="s" s="6">
        <v>67</v>
      </c>
      <c r="C13" t="s" s="6">
        <v>68</v>
      </c>
      <c r="D13" t="s" s="6">
        <v>69</v>
      </c>
      <c r="E13" t="s" s="6">
        <v>70</v>
      </c>
      <c r="F13" s="7">
        <v>401</v>
      </c>
      <c r="G13" t="s" s="8">
        <v>71</v>
      </c>
      <c r="H13" s="9">
        <v>401</v>
      </c>
      <c r="I13" t="s" s="8">
        <v>19</v>
      </c>
      <c r="J13" t="s" s="8">
        <v>20</v>
      </c>
      <c r="K13" s="10">
        <v>46321</v>
      </c>
      <c r="L13" t="s" s="14">
        <v>72</v>
      </c>
    </row>
    <row r="14" ht="23" customHeight="1">
      <c r="A14" t="s" s="6">
        <v>73</v>
      </c>
      <c r="B14" t="s" s="6">
        <v>67</v>
      </c>
      <c r="C14" t="s" s="6">
        <v>74</v>
      </c>
      <c r="D14" t="s" s="6">
        <v>75</v>
      </c>
      <c r="E14" t="s" s="6">
        <v>70</v>
      </c>
      <c r="F14" s="7">
        <v>401</v>
      </c>
      <c r="G14" t="s" s="14">
        <v>76</v>
      </c>
      <c r="H14" s="9">
        <v>401</v>
      </c>
      <c r="I14" t="s" s="8">
        <v>19</v>
      </c>
      <c r="J14" t="s" s="8">
        <v>20</v>
      </c>
      <c r="K14" s="10">
        <v>46321</v>
      </c>
      <c r="L14" t="s" s="14">
        <v>77</v>
      </c>
    </row>
    <row r="15" ht="25" customHeight="1">
      <c r="A15" t="s" s="6">
        <v>78</v>
      </c>
      <c r="B15" t="s" s="6">
        <v>67</v>
      </c>
      <c r="C15" t="s" s="6">
        <v>79</v>
      </c>
      <c r="D15" t="s" s="6">
        <v>80</v>
      </c>
      <c r="E15" t="s" s="6">
        <v>81</v>
      </c>
      <c r="F15" s="7">
        <v>200</v>
      </c>
      <c r="G15" t="s" s="11">
        <v>82</v>
      </c>
      <c r="H15" s="9">
        <v>200</v>
      </c>
      <c r="I15" t="s" s="8">
        <v>19</v>
      </c>
      <c r="J15" t="s" s="8">
        <v>20</v>
      </c>
      <c r="K15" s="10">
        <v>46321</v>
      </c>
      <c r="L15" t="s" s="8">
        <v>83</v>
      </c>
    </row>
    <row r="16" ht="33" customHeight="1">
      <c r="A16" t="s" s="6">
        <v>84</v>
      </c>
      <c r="B16" t="s" s="6">
        <v>67</v>
      </c>
      <c r="C16" t="s" s="6">
        <v>85</v>
      </c>
      <c r="D16" t="s" s="6">
        <v>86</v>
      </c>
      <c r="E16" t="s" s="6">
        <v>70</v>
      </c>
      <c r="F16" s="7">
        <v>401</v>
      </c>
      <c r="G16" t="s" s="14">
        <v>87</v>
      </c>
      <c r="H16" s="9">
        <v>401</v>
      </c>
      <c r="I16" t="s" s="8">
        <v>19</v>
      </c>
      <c r="J16" t="s" s="8">
        <v>20</v>
      </c>
      <c r="K16" s="10">
        <v>46321</v>
      </c>
      <c r="L16" t="s" s="8">
        <v>88</v>
      </c>
    </row>
    <row r="17" ht="23" customHeight="1">
      <c r="A17" t="s" s="6">
        <v>89</v>
      </c>
      <c r="B17" t="s" s="6">
        <v>67</v>
      </c>
      <c r="C17" t="s" s="6">
        <v>90</v>
      </c>
      <c r="D17" t="s" s="6">
        <v>91</v>
      </c>
      <c r="E17" t="s" s="6">
        <v>70</v>
      </c>
      <c r="F17" s="7">
        <v>401</v>
      </c>
      <c r="G17" t="s" s="17">
        <v>92</v>
      </c>
      <c r="H17" s="9">
        <v>401</v>
      </c>
      <c r="I17" t="s" s="8">
        <v>19</v>
      </c>
      <c r="J17" t="s" s="8">
        <v>20</v>
      </c>
      <c r="K17" s="10">
        <v>46321</v>
      </c>
      <c r="L17" t="s" s="14">
        <v>93</v>
      </c>
    </row>
    <row r="18" ht="23" customHeight="1">
      <c r="A18" t="s" s="6">
        <v>94</v>
      </c>
      <c r="B18" t="s" s="6">
        <v>95</v>
      </c>
      <c r="C18" t="s" s="6">
        <v>96</v>
      </c>
      <c r="D18" t="s" s="6">
        <v>97</v>
      </c>
      <c r="E18" t="s" s="6">
        <v>98</v>
      </c>
      <c r="F18" s="7">
        <v>403</v>
      </c>
      <c r="G18" t="s" s="14">
        <v>99</v>
      </c>
      <c r="H18" s="9">
        <v>403</v>
      </c>
      <c r="I18" t="s" s="8">
        <v>19</v>
      </c>
      <c r="J18" t="s" s="8">
        <v>20</v>
      </c>
      <c r="K18" s="10">
        <v>46321</v>
      </c>
      <c r="L18" t="s" s="8">
        <v>100</v>
      </c>
    </row>
    <row r="19" ht="33" customHeight="1">
      <c r="A19" t="s" s="6">
        <v>101</v>
      </c>
      <c r="B19" t="s" s="6">
        <v>95</v>
      </c>
      <c r="C19" t="s" s="6">
        <v>102</v>
      </c>
      <c r="D19" t="s" s="6">
        <v>103</v>
      </c>
      <c r="E19" t="s" s="6">
        <v>98</v>
      </c>
      <c r="F19" s="7">
        <v>403</v>
      </c>
      <c r="G19" t="s" s="18">
        <v>104</v>
      </c>
      <c r="H19" s="9">
        <v>403</v>
      </c>
      <c r="I19" t="s" s="8">
        <v>19</v>
      </c>
      <c r="J19" t="s" s="8">
        <v>20</v>
      </c>
      <c r="K19" s="10">
        <v>46321</v>
      </c>
      <c r="L19" t="s" s="14">
        <v>105</v>
      </c>
    </row>
    <row r="20" ht="23" customHeight="1">
      <c r="A20" t="s" s="6">
        <v>106</v>
      </c>
      <c r="B20" t="s" s="6">
        <v>95</v>
      </c>
      <c r="C20" t="s" s="6">
        <v>107</v>
      </c>
      <c r="D20" t="s" s="6">
        <v>108</v>
      </c>
      <c r="E20" t="s" s="6">
        <v>98</v>
      </c>
      <c r="F20" s="7">
        <v>403</v>
      </c>
      <c r="G20" t="s" s="18">
        <v>109</v>
      </c>
      <c r="H20" s="9">
        <v>403</v>
      </c>
      <c r="I20" t="s" s="8">
        <v>19</v>
      </c>
      <c r="J20" t="s" s="8">
        <v>20</v>
      </c>
      <c r="K20" s="10">
        <v>46321</v>
      </c>
      <c r="L20" t="s" s="8">
        <v>110</v>
      </c>
    </row>
    <row r="21" ht="33" customHeight="1">
      <c r="A21" t="s" s="6">
        <v>111</v>
      </c>
      <c r="B21" t="s" s="6">
        <v>95</v>
      </c>
      <c r="C21" t="s" s="6">
        <v>112</v>
      </c>
      <c r="D21" t="s" s="6">
        <v>113</v>
      </c>
      <c r="E21" t="s" s="6">
        <v>114</v>
      </c>
      <c r="F21" s="7">
        <v>200</v>
      </c>
      <c r="G21" t="s" s="8">
        <v>115</v>
      </c>
      <c r="H21" s="9">
        <v>200</v>
      </c>
      <c r="I21" t="s" s="8">
        <v>19</v>
      </c>
      <c r="J21" t="s" s="8">
        <v>20</v>
      </c>
      <c r="K21" s="10">
        <v>46321</v>
      </c>
      <c r="L21" t="s" s="14">
        <v>116</v>
      </c>
    </row>
    <row r="22" ht="20.7" customHeight="1">
      <c r="A22" t="s" s="6">
        <v>117</v>
      </c>
      <c r="B22" t="s" s="6">
        <v>95</v>
      </c>
      <c r="C22" t="s" s="6">
        <v>118</v>
      </c>
      <c r="D22" t="s" s="6">
        <v>119</v>
      </c>
      <c r="E22" t="s" s="6">
        <v>120</v>
      </c>
      <c r="F22" s="7">
        <v>409</v>
      </c>
      <c r="G22" t="s" s="8">
        <v>121</v>
      </c>
      <c r="H22" s="9">
        <v>409</v>
      </c>
      <c r="I22" t="s" s="8">
        <v>19</v>
      </c>
      <c r="J22" t="s" s="8">
        <v>20</v>
      </c>
      <c r="K22" s="10">
        <v>46321</v>
      </c>
      <c r="L22" t="s" s="8">
        <v>122</v>
      </c>
    </row>
    <row r="23" ht="33" customHeight="1">
      <c r="A23" t="s" s="6">
        <v>123</v>
      </c>
      <c r="B23" t="s" s="6">
        <v>95</v>
      </c>
      <c r="C23" t="s" s="6">
        <v>124</v>
      </c>
      <c r="D23" t="s" s="6">
        <v>125</v>
      </c>
      <c r="E23" t="s" s="6">
        <v>126</v>
      </c>
      <c r="F23" s="7">
        <v>403</v>
      </c>
      <c r="G23" t="s" s="8">
        <v>127</v>
      </c>
      <c r="H23" s="9">
        <v>401</v>
      </c>
      <c r="I23" t="s" s="8">
        <v>128</v>
      </c>
      <c r="J23" t="s" s="8">
        <v>20</v>
      </c>
      <c r="K23" s="10">
        <v>46321</v>
      </c>
      <c r="L23" t="s" s="8">
        <v>129</v>
      </c>
    </row>
    <row r="24" ht="23" customHeight="1">
      <c r="A24" t="s" s="6">
        <v>130</v>
      </c>
      <c r="B24" t="s" s="6">
        <v>95</v>
      </c>
      <c r="C24" t="s" s="6">
        <v>131</v>
      </c>
      <c r="D24" t="s" s="6">
        <v>132</v>
      </c>
      <c r="E24" t="s" s="6">
        <v>133</v>
      </c>
      <c r="F24" s="7">
        <v>200</v>
      </c>
      <c r="G24" t="s" s="8">
        <v>134</v>
      </c>
      <c r="H24" s="9">
        <v>200</v>
      </c>
      <c r="I24" t="s" s="8">
        <v>19</v>
      </c>
      <c r="J24" t="s" s="8">
        <v>20</v>
      </c>
      <c r="K24" s="10">
        <v>46321</v>
      </c>
      <c r="L24" t="s" s="14">
        <v>135</v>
      </c>
    </row>
    <row r="25" ht="29.7" customHeight="1">
      <c r="A25" t="s" s="6">
        <v>136</v>
      </c>
      <c r="B25" t="s" s="6">
        <v>95</v>
      </c>
      <c r="C25" t="s" s="6">
        <v>137</v>
      </c>
      <c r="D25" t="s" s="6">
        <v>138</v>
      </c>
      <c r="E25" t="s" s="6">
        <v>139</v>
      </c>
      <c r="F25" s="7">
        <v>204</v>
      </c>
      <c r="G25" t="s" s="8">
        <v>140</v>
      </c>
      <c r="H25" s="9">
        <v>204</v>
      </c>
      <c r="I25" t="s" s="8">
        <v>19</v>
      </c>
      <c r="J25" t="s" s="8">
        <v>20</v>
      </c>
      <c r="K25" s="10">
        <v>46321</v>
      </c>
      <c r="L25" t="s" s="8">
        <v>141</v>
      </c>
    </row>
    <row r="26" ht="20.7" customHeight="1">
      <c r="A26" t="s" s="6">
        <v>142</v>
      </c>
      <c r="B26" t="s" s="6">
        <v>95</v>
      </c>
      <c r="C26" t="s" s="6">
        <v>143</v>
      </c>
      <c r="D26" t="s" s="6">
        <v>144</v>
      </c>
      <c r="E26" t="s" s="6">
        <v>145</v>
      </c>
      <c r="F26" s="7">
        <v>404</v>
      </c>
      <c r="G26" t="s" s="18">
        <v>146</v>
      </c>
      <c r="H26" s="9">
        <v>404</v>
      </c>
      <c r="I26" t="s" s="8">
        <v>19</v>
      </c>
      <c r="J26" t="s" s="8">
        <v>20</v>
      </c>
      <c r="K26" s="10">
        <v>46321</v>
      </c>
      <c r="L26" t="s" s="8">
        <v>147</v>
      </c>
    </row>
    <row r="27" ht="11.7" customHeight="1">
      <c r="A27" t="s" s="6">
        <v>148</v>
      </c>
      <c r="B27" t="s" s="6">
        <v>149</v>
      </c>
      <c r="C27" t="s" s="6">
        <v>150</v>
      </c>
      <c r="D27" t="s" s="6">
        <v>151</v>
      </c>
      <c r="E27" t="s" s="6">
        <v>152</v>
      </c>
      <c r="F27" s="7">
        <v>200</v>
      </c>
      <c r="G27" t="s" s="8">
        <v>153</v>
      </c>
      <c r="H27" s="9">
        <v>200</v>
      </c>
      <c r="I27" t="s" s="8">
        <v>19</v>
      </c>
      <c r="J27" t="s" s="8">
        <v>20</v>
      </c>
      <c r="K27" s="10">
        <v>46321</v>
      </c>
      <c r="L27" t="s" s="8">
        <v>154</v>
      </c>
    </row>
    <row r="28" ht="11.7" customHeight="1">
      <c r="A28" t="s" s="6">
        <v>155</v>
      </c>
      <c r="B28" t="s" s="6">
        <v>149</v>
      </c>
      <c r="C28" t="s" s="6">
        <v>156</v>
      </c>
      <c r="D28" t="s" s="6">
        <v>157</v>
      </c>
      <c r="E28" t="s" s="6">
        <v>158</v>
      </c>
      <c r="F28" s="7">
        <v>200</v>
      </c>
      <c r="G28" t="s" s="8">
        <v>159</v>
      </c>
      <c r="H28" s="9">
        <v>200</v>
      </c>
      <c r="I28" t="s" s="8">
        <v>19</v>
      </c>
      <c r="J28" t="s" s="8">
        <v>20</v>
      </c>
      <c r="K28" s="10">
        <v>46321</v>
      </c>
      <c r="L28" t="s" s="8">
        <v>160</v>
      </c>
    </row>
    <row r="29" ht="20.7" customHeight="1">
      <c r="A29" t="s" s="6">
        <v>161</v>
      </c>
      <c r="B29" t="s" s="6">
        <v>162</v>
      </c>
      <c r="C29" t="s" s="6">
        <v>163</v>
      </c>
      <c r="D29" t="s" s="6">
        <v>164</v>
      </c>
      <c r="E29" t="s" s="6">
        <v>165</v>
      </c>
      <c r="F29" s="7">
        <v>200</v>
      </c>
      <c r="G29" t="s" s="8">
        <v>166</v>
      </c>
      <c r="H29" s="9">
        <v>200</v>
      </c>
      <c r="I29" t="s" s="8">
        <v>19</v>
      </c>
      <c r="J29" t="s" s="8">
        <v>20</v>
      </c>
      <c r="K29" s="10">
        <v>46321</v>
      </c>
      <c r="L29" t="s" s="8">
        <v>167</v>
      </c>
    </row>
    <row r="30" ht="29.7" customHeight="1">
      <c r="A30" t="s" s="6">
        <v>168</v>
      </c>
      <c r="B30" t="s" s="6">
        <v>162</v>
      </c>
      <c r="C30" t="s" s="6">
        <v>169</v>
      </c>
      <c r="D30" t="s" s="6">
        <v>170</v>
      </c>
      <c r="E30" t="s" s="6">
        <v>98</v>
      </c>
      <c r="F30" s="7">
        <v>403</v>
      </c>
      <c r="G30" t="s" s="8">
        <v>171</v>
      </c>
      <c r="H30" s="9">
        <v>401</v>
      </c>
      <c r="I30" t="s" s="8">
        <v>128</v>
      </c>
      <c r="J30" t="s" s="8">
        <v>20</v>
      </c>
      <c r="K30" s="10">
        <v>46321</v>
      </c>
      <c r="L30" t="s" s="8">
        <v>172</v>
      </c>
    </row>
    <row r="31" ht="11.7" customHeight="1">
      <c r="A31" t="s" s="6">
        <v>173</v>
      </c>
      <c r="B31" t="s" s="6">
        <v>162</v>
      </c>
      <c r="C31" t="s" s="6">
        <v>174</v>
      </c>
      <c r="D31" t="s" s="6">
        <v>175</v>
      </c>
      <c r="E31" t="s" s="6">
        <v>70</v>
      </c>
      <c r="F31" s="7">
        <v>401</v>
      </c>
      <c r="G31" t="s" s="8">
        <v>176</v>
      </c>
      <c r="H31" s="9">
        <v>401</v>
      </c>
      <c r="I31" t="s" s="8">
        <v>19</v>
      </c>
      <c r="J31" t="s" s="8">
        <v>20</v>
      </c>
      <c r="K31" s="10">
        <v>46321</v>
      </c>
      <c r="L31" t="s" s="8">
        <v>177</v>
      </c>
    </row>
    <row r="32" ht="11.7" customHeight="1">
      <c r="A32" t="s" s="6">
        <v>178</v>
      </c>
      <c r="B32" t="s" s="6">
        <v>162</v>
      </c>
      <c r="C32" t="s" s="6">
        <v>179</v>
      </c>
      <c r="D32" t="s" s="6">
        <v>180</v>
      </c>
      <c r="E32" t="s" s="6">
        <v>181</v>
      </c>
      <c r="F32" s="7">
        <v>403</v>
      </c>
      <c r="G32" t="s" s="8">
        <v>182</v>
      </c>
      <c r="H32" s="9">
        <v>403</v>
      </c>
      <c r="I32" t="s" s="8">
        <v>19</v>
      </c>
      <c r="J32" t="s" s="8">
        <v>20</v>
      </c>
      <c r="K32" s="10">
        <v>46321</v>
      </c>
      <c r="L32" t="s" s="8">
        <v>183</v>
      </c>
    </row>
    <row r="33" ht="20.7" customHeight="1">
      <c r="A33" t="s" s="6">
        <v>184</v>
      </c>
      <c r="B33" t="s" s="6">
        <v>162</v>
      </c>
      <c r="C33" t="s" s="6">
        <v>185</v>
      </c>
      <c r="D33" t="s" s="6">
        <v>186</v>
      </c>
      <c r="E33" t="s" s="6">
        <v>70</v>
      </c>
      <c r="F33" s="7">
        <v>403</v>
      </c>
      <c r="G33" t="s" s="8">
        <v>187</v>
      </c>
      <c r="H33" s="9">
        <v>401</v>
      </c>
      <c r="I33" t="s" s="8">
        <v>128</v>
      </c>
      <c r="J33" t="s" s="8">
        <v>20</v>
      </c>
      <c r="K33" s="10">
        <v>46321</v>
      </c>
      <c r="L33" t="s" s="8">
        <v>188</v>
      </c>
    </row>
    <row r="34" ht="20.7" customHeight="1">
      <c r="A34" t="s" s="6">
        <v>189</v>
      </c>
      <c r="B34" t="s" s="6">
        <v>162</v>
      </c>
      <c r="C34" t="s" s="6">
        <v>190</v>
      </c>
      <c r="D34" t="s" s="6">
        <v>191</v>
      </c>
      <c r="E34" t="s" s="6">
        <v>192</v>
      </c>
      <c r="F34" s="7">
        <v>200</v>
      </c>
      <c r="G34" t="s" s="8">
        <v>193</v>
      </c>
      <c r="H34" s="9">
        <v>200</v>
      </c>
      <c r="I34" t="s" s="8">
        <v>19</v>
      </c>
      <c r="J34" t="s" s="8">
        <v>20</v>
      </c>
      <c r="K34" s="10">
        <v>46321</v>
      </c>
      <c r="L34" t="s" s="8">
        <v>194</v>
      </c>
    </row>
    <row r="35" ht="20.7" customHeight="1">
      <c r="A35" t="s" s="6">
        <v>195</v>
      </c>
      <c r="B35" t="s" s="6">
        <v>162</v>
      </c>
      <c r="C35" t="s" s="6">
        <v>196</v>
      </c>
      <c r="D35" t="s" s="6">
        <v>197</v>
      </c>
      <c r="E35" t="s" s="6">
        <v>198</v>
      </c>
      <c r="F35" s="7">
        <v>200</v>
      </c>
      <c r="G35" t="s" s="8">
        <v>199</v>
      </c>
      <c r="H35" s="9">
        <v>200</v>
      </c>
      <c r="I35" t="s" s="8">
        <v>19</v>
      </c>
      <c r="J35" t="s" s="8">
        <v>20</v>
      </c>
      <c r="K35" s="10">
        <v>46321</v>
      </c>
      <c r="L35" t="s" s="8">
        <v>200</v>
      </c>
    </row>
    <row r="36" ht="20.7" customHeight="1">
      <c r="A36" t="s" s="6">
        <v>201</v>
      </c>
      <c r="B36" t="s" s="6">
        <v>162</v>
      </c>
      <c r="C36" t="s" s="6">
        <v>202</v>
      </c>
      <c r="D36" t="s" s="6">
        <v>203</v>
      </c>
      <c r="E36" t="s" s="6">
        <v>204</v>
      </c>
      <c r="F36" s="7">
        <v>404</v>
      </c>
      <c r="G36" t="s" s="8">
        <v>146</v>
      </c>
      <c r="H36" s="9">
        <v>404</v>
      </c>
      <c r="I36" t="s" s="8">
        <v>19</v>
      </c>
      <c r="J36" t="s" s="8">
        <v>20</v>
      </c>
      <c r="K36" s="10">
        <v>46321</v>
      </c>
      <c r="L36" t="s" s="8">
        <v>205</v>
      </c>
    </row>
    <row r="37" ht="20.7" customHeight="1">
      <c r="A37" t="s" s="6">
        <v>206</v>
      </c>
      <c r="B37" t="s" s="6">
        <v>207</v>
      </c>
      <c r="C37" t="s" s="6">
        <v>208</v>
      </c>
      <c r="D37" t="s" s="6">
        <v>209</v>
      </c>
      <c r="E37" t="s" s="6">
        <v>210</v>
      </c>
      <c r="F37" s="7">
        <v>200</v>
      </c>
      <c r="G37" t="s" s="8">
        <v>211</v>
      </c>
      <c r="H37" s="9">
        <v>200</v>
      </c>
      <c r="I37" t="s" s="8">
        <v>19</v>
      </c>
      <c r="J37" t="s" s="8">
        <v>20</v>
      </c>
      <c r="K37" s="10">
        <v>46321</v>
      </c>
      <c r="L37" s="19"/>
    </row>
    <row r="38" ht="38.7" customHeight="1">
      <c r="A38" t="s" s="6">
        <v>212</v>
      </c>
      <c r="B38" t="s" s="6">
        <v>207</v>
      </c>
      <c r="C38" t="s" s="6">
        <v>213</v>
      </c>
      <c r="D38" t="s" s="6">
        <v>214</v>
      </c>
      <c r="E38" t="s" s="6">
        <v>215</v>
      </c>
      <c r="F38" s="7">
        <v>200</v>
      </c>
      <c r="G38" t="s" s="8">
        <v>216</v>
      </c>
      <c r="H38" s="9">
        <v>200</v>
      </c>
      <c r="I38" t="s" s="8">
        <v>19</v>
      </c>
      <c r="J38" t="s" s="8">
        <v>20</v>
      </c>
      <c r="K38" s="10">
        <v>46321</v>
      </c>
      <c r="L38" t="s" s="8">
        <v>217</v>
      </c>
    </row>
  </sheetData>
  <conditionalFormatting sqref="I4:I38">
    <cfRule type="cellIs" dxfId="0" priority="1" operator="equal" stopIfTrue="1">
      <formula>"OK"</formula>
    </cfRule>
    <cfRule type="cellIs" dxfId="1" priority="2" operator="equal" stopIfTrue="1">
      <formula>"Bloqué"</formula>
    </cfRule>
  </conditionalFormatting>
  <dataValidations count="1">
    <dataValidation type="list" allowBlank="1" showInputMessage="1" showErrorMessage="1" sqref="I4:I38">
      <formula1>"À faire,OK,KO,Bloqué"</formula1>
    </dataValidation>
  </dataValidation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8"/>
  <sheetViews>
    <sheetView workbookViewId="0" showGridLines="0" defaultGridColor="1"/>
  </sheetViews>
  <sheetFormatPr defaultColWidth="8.66667" defaultRowHeight="15" customHeight="1" outlineLevelRow="0" outlineLevelCol="0"/>
  <cols>
    <col min="1" max="1" width="18" style="20" customWidth="1"/>
    <col min="2" max="4" width="12" style="20" customWidth="1"/>
    <col min="5" max="5" width="8.67188" style="20" customWidth="1"/>
    <col min="6" max="16384" width="8.67188" style="20" customWidth="1"/>
  </cols>
  <sheetData>
    <row r="1" ht="18.5" customHeight="1">
      <c r="A1" t="s" s="21">
        <v>218</v>
      </c>
      <c r="B1" s="3"/>
      <c r="C1" s="3"/>
      <c r="D1" s="3"/>
      <c r="E1" s="3"/>
    </row>
    <row r="2" ht="13.55" customHeight="1">
      <c r="A2" s="4"/>
      <c r="B2" s="4"/>
      <c r="C2" s="4"/>
      <c r="D2" s="3"/>
      <c r="E2" s="3"/>
    </row>
    <row r="3" ht="14.6" customHeight="1">
      <c r="A3" t="s" s="22">
        <v>9</v>
      </c>
      <c r="B3" t="s" s="22">
        <v>219</v>
      </c>
      <c r="C3" t="s" s="22">
        <v>220</v>
      </c>
      <c r="D3" s="23"/>
      <c r="E3" s="3"/>
    </row>
    <row r="4" ht="14.6" customHeight="1">
      <c r="A4" t="s" s="24">
        <v>19</v>
      </c>
      <c r="B4" s="25" cm="1">
        <f t="array" ref="B4">COUNTIF('Plan de tests Lot 1'!$I$4:$I$38,A4)</f>
        <v>32</v>
      </c>
      <c r="C4" s="26" cm="1">
        <f t="array" ref="C4">_xlfn.IFERROR(B4/$B$8,0)</f>
        <v>0.914285714285714</v>
      </c>
      <c r="D4" s="23"/>
      <c r="E4" s="3"/>
    </row>
    <row r="5" ht="14.6" customHeight="1">
      <c r="A5" t="s" s="24">
        <v>128</v>
      </c>
      <c r="B5" s="25" cm="1">
        <f t="array" ref="B5">COUNTIF('Plan de tests Lot 1'!$I$4:$I$38,A5)</f>
        <v>3</v>
      </c>
      <c r="C5" s="26" cm="1">
        <f t="array" ref="C5">_xlfn.IFERROR(B5/$B$8,0)</f>
        <v>0.0857142857142857</v>
      </c>
      <c r="D5" s="23"/>
      <c r="E5" s="3"/>
    </row>
    <row r="6" ht="14.6" customHeight="1">
      <c r="A6" t="s" s="24">
        <v>221</v>
      </c>
      <c r="B6" s="25" cm="1">
        <f t="array" ref="B6">COUNTIF('Plan de tests Lot 1'!$I$4:$I$38,A6)</f>
        <v>0</v>
      </c>
      <c r="C6" s="26" cm="1">
        <f t="array" ref="C6">_xlfn.IFERROR(B6/$B$8,0)</f>
        <v>0</v>
      </c>
      <c r="D6" s="23"/>
      <c r="E6" s="3"/>
    </row>
    <row r="7" ht="14.6" customHeight="1">
      <c r="A7" t="s" s="24">
        <v>222</v>
      </c>
      <c r="B7" s="25" cm="1">
        <f t="array" ref="B7">COUNTIF('Plan de tests Lot 1'!$I$4:$I$38,A7)</f>
        <v>0</v>
      </c>
      <c r="C7" s="26" cm="1">
        <f t="array" ref="C7">_xlfn.IFERROR(B7/$B$8,0)</f>
        <v>0</v>
      </c>
      <c r="D7" s="23"/>
      <c r="E7" s="3"/>
    </row>
    <row r="8" ht="14.6" customHeight="1">
      <c r="A8" t="s" s="24">
        <v>223</v>
      </c>
      <c r="B8" s="25" cm="1">
        <f t="array" ref="B8">SUM(B4:B7)</f>
        <v>35</v>
      </c>
      <c r="C8" s="26" cm="1">
        <f t="array" ref="C8">SUM(C4:C7)</f>
        <v>1</v>
      </c>
      <c r="D8" s="23"/>
      <c r="E8" s="3"/>
    </row>
    <row r="9" ht="13.55" customHeight="1">
      <c r="A9" s="27"/>
      <c r="B9" s="27"/>
      <c r="C9" s="27"/>
      <c r="D9" s="3"/>
      <c r="E9" s="3"/>
    </row>
    <row r="10" ht="14.6" customHeight="1">
      <c r="A10" t="s" s="28">
        <v>224</v>
      </c>
      <c r="B10" s="4"/>
      <c r="C10" s="4"/>
      <c r="D10" s="4"/>
      <c r="E10" s="3"/>
    </row>
    <row r="11" ht="14.6" customHeight="1">
      <c r="A11" t="s" s="22">
        <v>2</v>
      </c>
      <c r="B11" t="s" s="22">
        <v>223</v>
      </c>
      <c r="C11" t="s" s="22">
        <v>19</v>
      </c>
      <c r="D11" t="s" s="22">
        <v>128</v>
      </c>
      <c r="E11" s="23"/>
    </row>
    <row r="12" ht="14.6" customHeight="1">
      <c r="A12" t="s" s="24">
        <v>14</v>
      </c>
      <c r="B12" s="25" cm="1">
        <f t="array" ref="B12">COUNTIF('Plan de tests Lot 1'!$B$4:$B$38,A12)</f>
        <v>5</v>
      </c>
      <c r="C12" s="25" cm="1">
        <f t="array" ref="C12">_xlfn.COUNTIFS('Plan de tests Lot 1'!$B$4:$B$38,A12,'Plan de tests Lot 1'!$I$4:$I$38,"OK")</f>
        <v>5</v>
      </c>
      <c r="D12" s="25" cm="1">
        <f t="array" ref="D12">_xlfn.COUNTIFS('Plan de tests Lot 1'!$B$4:$B$38,A12,'Plan de tests Lot 1'!$I$4:$I$38,"KO")</f>
        <v>0</v>
      </c>
      <c r="E12" s="23"/>
    </row>
    <row r="13" ht="14.6" customHeight="1">
      <c r="A13" t="s" s="24">
        <v>45</v>
      </c>
      <c r="B13" s="25" cm="1">
        <f t="array" ref="B13">COUNTIF('Plan de tests Lot 1'!$B$4:$B$38,A13)</f>
        <v>4</v>
      </c>
      <c r="C13" s="25" cm="1">
        <f t="array" ref="C13">_xlfn.COUNTIFS('Plan de tests Lot 1'!$B$4:$B$38,A13,'Plan de tests Lot 1'!$I$4:$I$38,"OK")</f>
        <v>4</v>
      </c>
      <c r="D13" s="25" cm="1">
        <f t="array" ref="D13">_xlfn.COUNTIFS('Plan de tests Lot 1'!$B$4:$B$38,A13,'Plan de tests Lot 1'!$I$4:$I$38,"KO")</f>
        <v>0</v>
      </c>
      <c r="E13" s="23"/>
    </row>
    <row r="14" ht="14.6" customHeight="1">
      <c r="A14" t="s" s="24">
        <v>67</v>
      </c>
      <c r="B14" s="25" cm="1">
        <f t="array" ref="B14">COUNTIF('Plan de tests Lot 1'!$B$4:$B$38,A14)</f>
        <v>5</v>
      </c>
      <c r="C14" s="25" cm="1">
        <f t="array" ref="C14">_xlfn.COUNTIFS('Plan de tests Lot 1'!$B$4:$B$38,A14,'Plan de tests Lot 1'!$I$4:$I$38,"OK")</f>
        <v>5</v>
      </c>
      <c r="D14" s="25" cm="1">
        <f t="array" ref="D14">_xlfn.COUNTIFS('Plan de tests Lot 1'!$B$4:$B$38,A14,'Plan de tests Lot 1'!$I$4:$I$38,"KO")</f>
        <v>0</v>
      </c>
      <c r="E14" s="23"/>
    </row>
    <row r="15" ht="14.6" customHeight="1">
      <c r="A15" t="s" s="24">
        <v>95</v>
      </c>
      <c r="B15" s="25" cm="1">
        <f t="array" ref="B15">COUNTIF('Plan de tests Lot 1'!$B$4:$B$38,A15)</f>
        <v>9</v>
      </c>
      <c r="C15" s="25" cm="1">
        <f t="array" ref="C15">_xlfn.COUNTIFS('Plan de tests Lot 1'!$B$4:$B$38,A15,'Plan de tests Lot 1'!$I$4:$I$38,"OK")</f>
        <v>8</v>
      </c>
      <c r="D15" s="25" cm="1">
        <f t="array" ref="D15">_xlfn.COUNTIFS('Plan de tests Lot 1'!$B$4:$B$38,A15,'Plan de tests Lot 1'!$I$4:$I$38,"KO")</f>
        <v>1</v>
      </c>
      <c r="E15" s="23"/>
    </row>
    <row r="16" ht="14.6" customHeight="1">
      <c r="A16" t="s" s="24">
        <v>149</v>
      </c>
      <c r="B16" s="25" cm="1">
        <f t="array" ref="B16">COUNTIF('Plan de tests Lot 1'!$B$4:$B$38,A16)</f>
        <v>2</v>
      </c>
      <c r="C16" s="25" cm="1">
        <f t="array" ref="C16">_xlfn.COUNTIFS('Plan de tests Lot 1'!$B$4:$B$38,A16,'Plan de tests Lot 1'!$I$4:$I$38,"OK")</f>
        <v>2</v>
      </c>
      <c r="D16" s="25" cm="1">
        <f t="array" ref="D16">_xlfn.COUNTIFS('Plan de tests Lot 1'!$B$4:$B$38,A16,'Plan de tests Lot 1'!$I$4:$I$38,"KO")</f>
        <v>0</v>
      </c>
      <c r="E16" s="23"/>
    </row>
    <row r="17" ht="14.6" customHeight="1">
      <c r="A17" t="s" s="24">
        <v>162</v>
      </c>
      <c r="B17" s="25" cm="1">
        <f t="array" ref="B17">COUNTIF('Plan de tests Lot 1'!$B$4:$B$38,A17)</f>
        <v>8</v>
      </c>
      <c r="C17" s="25" cm="1">
        <f t="array" ref="C17">_xlfn.COUNTIFS('Plan de tests Lot 1'!$B$4:$B$38,A17,'Plan de tests Lot 1'!$I$4:$I$38,"OK")</f>
        <v>6</v>
      </c>
      <c r="D17" s="25" cm="1">
        <f t="array" ref="D17">_xlfn.COUNTIFS('Plan de tests Lot 1'!$B$4:$B$38,A17,'Plan de tests Lot 1'!$I$4:$I$38,"KO")</f>
        <v>2</v>
      </c>
      <c r="E17" s="23"/>
    </row>
    <row r="18" ht="14.6" customHeight="1">
      <c r="A18" t="s" s="24">
        <v>207</v>
      </c>
      <c r="B18" s="25" cm="1">
        <f t="array" ref="B18">COUNTIF('Plan de tests Lot 1'!$B$4:$B$38,A18)</f>
        <v>2</v>
      </c>
      <c r="C18" s="25" cm="1">
        <f t="array" ref="C18">_xlfn.COUNTIFS('Plan de tests Lot 1'!$B$4:$B$38,A18,'Plan de tests Lot 1'!$I$4:$I$38,"OK")</f>
        <v>2</v>
      </c>
      <c r="D18" s="25" cm="1">
        <f t="array" ref="D18">_xlfn.COUNTIFS('Plan de tests Lot 1'!$B$4:$B$38,A18,'Plan de tests Lot 1'!$I$4:$I$38,"KO")</f>
        <v>0</v>
      </c>
      <c r="E18" s="23"/>
    </row>
  </sheetData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I31"/>
  <sheetViews>
    <sheetView workbookViewId="0" showGridLines="0" defaultGridColor="1"/>
  </sheetViews>
  <sheetFormatPr defaultColWidth="8.66667" defaultRowHeight="15" customHeight="1" outlineLevelRow="0" outlineLevelCol="0"/>
  <cols>
    <col min="1" max="1" width="7" style="29" customWidth="1"/>
    <col min="2" max="2" width="14" style="29" customWidth="1"/>
    <col min="3" max="3" width="50" style="29" customWidth="1"/>
    <col min="4" max="4" width="12" style="29" customWidth="1"/>
    <col min="5" max="5" width="24" style="29" customWidth="1"/>
    <col min="6" max="6" width="36" style="29" customWidth="1"/>
    <col min="7" max="7" width="12" style="29" customWidth="1"/>
    <col min="8" max="9" width="14" style="29" customWidth="1"/>
    <col min="10" max="16384" width="8.67188" style="29" customWidth="1"/>
  </cols>
  <sheetData>
    <row r="1" ht="14.6" customHeight="1">
      <c r="A1" t="s" s="22">
        <v>225</v>
      </c>
      <c r="B1" t="s" s="22">
        <v>226</v>
      </c>
      <c r="C1" t="s" s="22">
        <v>227</v>
      </c>
      <c r="D1" t="s" s="22">
        <v>228</v>
      </c>
      <c r="E1" t="s" s="22">
        <v>229</v>
      </c>
      <c r="F1" t="s" s="22">
        <v>230</v>
      </c>
      <c r="G1" t="s" s="22">
        <v>9</v>
      </c>
      <c r="H1" t="s" s="22">
        <v>231</v>
      </c>
      <c r="I1" t="s" s="22">
        <v>232</v>
      </c>
    </row>
    <row r="2" ht="13.65" customHeight="1">
      <c r="A2" s="30"/>
      <c r="B2" s="30"/>
      <c r="C2" s="30"/>
      <c r="D2" s="30"/>
      <c r="E2" s="30"/>
      <c r="F2" s="30"/>
      <c r="G2" s="30"/>
      <c r="H2" s="30"/>
      <c r="I2" s="30"/>
    </row>
    <row r="3" ht="27" customHeight="1">
      <c r="A3" t="s" s="31">
        <v>233</v>
      </c>
      <c r="B3" t="s" s="31">
        <v>234</v>
      </c>
      <c r="C3" t="s" s="32">
        <v>235</v>
      </c>
      <c r="D3" t="s" s="33">
        <v>236</v>
      </c>
      <c r="E3" t="s" s="31">
        <v>237</v>
      </c>
      <c r="F3" t="s" s="31">
        <v>238</v>
      </c>
      <c r="G3" t="s" s="31">
        <v>239</v>
      </c>
      <c r="H3" s="34">
        <v>46321</v>
      </c>
      <c r="I3" s="35"/>
    </row>
    <row r="4" ht="36" customHeight="1">
      <c r="A4" t="s" s="31">
        <v>240</v>
      </c>
      <c r="B4" t="s" s="31">
        <v>123</v>
      </c>
      <c r="C4" t="s" s="36">
        <v>241</v>
      </c>
      <c r="D4" t="s" s="31">
        <v>242</v>
      </c>
      <c r="E4" t="s" s="37">
        <v>243</v>
      </c>
      <c r="F4" t="s" s="31">
        <v>244</v>
      </c>
      <c r="G4" t="s" s="31">
        <v>239</v>
      </c>
      <c r="H4" s="34">
        <v>46321</v>
      </c>
      <c r="I4" s="35"/>
    </row>
    <row r="5" ht="27" customHeight="1">
      <c r="A5" t="s" s="31">
        <v>245</v>
      </c>
      <c r="B5" t="s" s="31">
        <v>168</v>
      </c>
      <c r="C5" t="s" s="31">
        <v>246</v>
      </c>
      <c r="D5" t="s" s="31">
        <v>242</v>
      </c>
      <c r="E5" t="s" s="37">
        <v>243</v>
      </c>
      <c r="F5" t="s" s="31">
        <v>247</v>
      </c>
      <c r="G5" t="s" s="31">
        <v>239</v>
      </c>
      <c r="H5" s="34">
        <v>46321</v>
      </c>
      <c r="I5" s="35"/>
    </row>
    <row r="6" ht="27" customHeight="1">
      <c r="A6" t="s" s="31">
        <v>248</v>
      </c>
      <c r="B6" t="s" s="31">
        <v>184</v>
      </c>
      <c r="C6" t="s" s="31">
        <v>249</v>
      </c>
      <c r="D6" t="s" s="31">
        <v>242</v>
      </c>
      <c r="E6" t="s" s="37">
        <v>243</v>
      </c>
      <c r="F6" t="s" s="31">
        <v>250</v>
      </c>
      <c r="G6" t="s" s="31">
        <v>239</v>
      </c>
      <c r="H6" s="34">
        <v>46321</v>
      </c>
      <c r="I6" s="35"/>
    </row>
    <row r="7" ht="13.65" customHeight="1">
      <c r="A7" s="35"/>
      <c r="B7" s="35"/>
      <c r="C7" s="35"/>
      <c r="D7" s="38"/>
      <c r="E7" s="35"/>
      <c r="F7" s="35"/>
      <c r="G7" s="38"/>
      <c r="H7" s="35"/>
      <c r="I7" s="35"/>
    </row>
    <row r="8" ht="13.65" customHeight="1">
      <c r="A8" s="35"/>
      <c r="B8" s="35"/>
      <c r="C8" s="35"/>
      <c r="D8" s="38"/>
      <c r="E8" s="35"/>
      <c r="F8" s="35"/>
      <c r="G8" s="38"/>
      <c r="H8" s="35"/>
      <c r="I8" s="35"/>
    </row>
    <row r="9" ht="13.65" customHeight="1">
      <c r="A9" s="35"/>
      <c r="B9" s="35"/>
      <c r="C9" s="35"/>
      <c r="D9" s="38"/>
      <c r="E9" s="35"/>
      <c r="F9" s="35"/>
      <c r="G9" s="38"/>
      <c r="H9" s="35"/>
      <c r="I9" s="35"/>
    </row>
    <row r="10" ht="13.65" customHeight="1">
      <c r="A10" s="35"/>
      <c r="B10" s="35"/>
      <c r="C10" s="35"/>
      <c r="D10" s="38"/>
      <c r="E10" s="35"/>
      <c r="F10" s="35"/>
      <c r="G10" s="38"/>
      <c r="H10" s="35"/>
      <c r="I10" s="35"/>
    </row>
    <row r="11" ht="13.65" customHeight="1">
      <c r="A11" s="35"/>
      <c r="B11" s="35"/>
      <c r="C11" s="35"/>
      <c r="D11" s="38"/>
      <c r="E11" s="35"/>
      <c r="F11" s="35"/>
      <c r="G11" s="38"/>
      <c r="H11" s="35"/>
      <c r="I11" s="35"/>
    </row>
    <row r="12" ht="13.65" customHeight="1">
      <c r="A12" s="35"/>
      <c r="B12" s="35"/>
      <c r="C12" s="35"/>
      <c r="D12" s="38"/>
      <c r="E12" s="35"/>
      <c r="F12" s="35"/>
      <c r="G12" s="38"/>
      <c r="H12" s="35"/>
      <c r="I12" s="35"/>
    </row>
    <row r="13" ht="13.65" customHeight="1">
      <c r="A13" s="35"/>
      <c r="B13" s="35"/>
      <c r="C13" s="35"/>
      <c r="D13" s="38"/>
      <c r="E13" s="35"/>
      <c r="F13" s="35"/>
      <c r="G13" s="38"/>
      <c r="H13" s="35"/>
      <c r="I13" s="35"/>
    </row>
    <row r="14" ht="13.65" customHeight="1">
      <c r="A14" s="35"/>
      <c r="B14" s="35"/>
      <c r="C14" s="35"/>
      <c r="D14" s="38"/>
      <c r="E14" s="35"/>
      <c r="F14" s="35"/>
      <c r="G14" s="38"/>
      <c r="H14" s="35"/>
      <c r="I14" s="35"/>
    </row>
    <row r="15" ht="13.65" customHeight="1">
      <c r="A15" s="35"/>
      <c r="B15" s="35"/>
      <c r="C15" s="35"/>
      <c r="D15" s="38"/>
      <c r="E15" s="35"/>
      <c r="F15" s="35"/>
      <c r="G15" s="38"/>
      <c r="H15" s="35"/>
      <c r="I15" s="35"/>
    </row>
    <row r="16" ht="13.65" customHeight="1">
      <c r="A16" s="35"/>
      <c r="B16" s="35"/>
      <c r="C16" s="35"/>
      <c r="D16" s="38"/>
      <c r="E16" s="35"/>
      <c r="F16" s="35"/>
      <c r="G16" s="38"/>
      <c r="H16" s="35"/>
      <c r="I16" s="35"/>
    </row>
    <row r="17" ht="13.65" customHeight="1">
      <c r="A17" s="35"/>
      <c r="B17" s="35"/>
      <c r="C17" s="35"/>
      <c r="D17" s="38"/>
      <c r="E17" s="35"/>
      <c r="F17" s="35"/>
      <c r="G17" s="38"/>
      <c r="H17" s="35"/>
      <c r="I17" s="35"/>
    </row>
    <row r="18" ht="13.65" customHeight="1">
      <c r="A18" s="35"/>
      <c r="B18" s="35"/>
      <c r="C18" s="35"/>
      <c r="D18" s="38"/>
      <c r="E18" s="35"/>
      <c r="F18" s="35"/>
      <c r="G18" s="38"/>
      <c r="H18" s="35"/>
      <c r="I18" s="35"/>
    </row>
    <row r="19" ht="13.65" customHeight="1">
      <c r="A19" s="35"/>
      <c r="B19" s="35"/>
      <c r="C19" s="35"/>
      <c r="D19" s="38"/>
      <c r="E19" s="35"/>
      <c r="F19" s="35"/>
      <c r="G19" s="38"/>
      <c r="H19" s="35"/>
      <c r="I19" s="35"/>
    </row>
    <row r="20" ht="13.65" customHeight="1">
      <c r="A20" s="35"/>
      <c r="B20" s="35"/>
      <c r="C20" s="35"/>
      <c r="D20" s="38"/>
      <c r="E20" s="35"/>
      <c r="F20" s="35"/>
      <c r="G20" s="38"/>
      <c r="H20" s="35"/>
      <c r="I20" s="35"/>
    </row>
    <row r="21" ht="13.65" customHeight="1">
      <c r="A21" s="35"/>
      <c r="B21" s="35"/>
      <c r="C21" s="35"/>
      <c r="D21" s="38"/>
      <c r="E21" s="35"/>
      <c r="F21" s="35"/>
      <c r="G21" s="38"/>
      <c r="H21" s="35"/>
      <c r="I21" s="35"/>
    </row>
    <row r="22" ht="13.65" customHeight="1">
      <c r="A22" s="35"/>
      <c r="B22" s="35"/>
      <c r="C22" s="35"/>
      <c r="D22" s="38"/>
      <c r="E22" s="35"/>
      <c r="F22" s="35"/>
      <c r="G22" s="38"/>
      <c r="H22" s="35"/>
      <c r="I22" s="35"/>
    </row>
    <row r="23" ht="13.65" customHeight="1">
      <c r="A23" s="35"/>
      <c r="B23" s="35"/>
      <c r="C23" s="35"/>
      <c r="D23" s="38"/>
      <c r="E23" s="35"/>
      <c r="F23" s="35"/>
      <c r="G23" s="38"/>
      <c r="H23" s="35"/>
      <c r="I23" s="35"/>
    </row>
    <row r="24" ht="13.65" customHeight="1">
      <c r="A24" s="35"/>
      <c r="B24" s="35"/>
      <c r="C24" s="35"/>
      <c r="D24" s="38"/>
      <c r="E24" s="35"/>
      <c r="F24" s="35"/>
      <c r="G24" s="38"/>
      <c r="H24" s="35"/>
      <c r="I24" s="35"/>
    </row>
    <row r="25" ht="13.65" customHeight="1">
      <c r="A25" s="35"/>
      <c r="B25" s="35"/>
      <c r="C25" s="35"/>
      <c r="D25" s="38"/>
      <c r="E25" s="35"/>
      <c r="F25" s="35"/>
      <c r="G25" s="38"/>
      <c r="H25" s="35"/>
      <c r="I25" s="35"/>
    </row>
    <row r="26" ht="13.65" customHeight="1">
      <c r="A26" s="35"/>
      <c r="B26" s="35"/>
      <c r="C26" s="35"/>
      <c r="D26" s="38"/>
      <c r="E26" s="35"/>
      <c r="F26" s="35"/>
      <c r="G26" s="38"/>
      <c r="H26" s="35"/>
      <c r="I26" s="35"/>
    </row>
    <row r="27" ht="13.65" customHeight="1">
      <c r="A27" s="35"/>
      <c r="B27" s="35"/>
      <c r="C27" s="35"/>
      <c r="D27" s="38"/>
      <c r="E27" s="35"/>
      <c r="F27" s="35"/>
      <c r="G27" s="38"/>
      <c r="H27" s="35"/>
      <c r="I27" s="35"/>
    </row>
    <row r="28" ht="13.65" customHeight="1">
      <c r="A28" s="35"/>
      <c r="B28" s="35"/>
      <c r="C28" s="35"/>
      <c r="D28" s="38"/>
      <c r="E28" s="35"/>
      <c r="F28" s="35"/>
      <c r="G28" s="38"/>
      <c r="H28" s="35"/>
      <c r="I28" s="35"/>
    </row>
    <row r="29" ht="13.65" customHeight="1">
      <c r="A29" s="35"/>
      <c r="B29" s="35"/>
      <c r="C29" s="35"/>
      <c r="D29" s="38"/>
      <c r="E29" s="35"/>
      <c r="F29" s="35"/>
      <c r="G29" s="38"/>
      <c r="H29" s="35"/>
      <c r="I29" s="35"/>
    </row>
    <row r="30" ht="13.65" customHeight="1">
      <c r="A30" s="35"/>
      <c r="B30" s="35"/>
      <c r="C30" s="35"/>
      <c r="D30" s="38"/>
      <c r="E30" s="35"/>
      <c r="F30" s="35"/>
      <c r="G30" s="38"/>
      <c r="H30" s="35"/>
      <c r="I30" s="35"/>
    </row>
    <row r="31" ht="13.65" customHeight="1">
      <c r="A31" s="35"/>
      <c r="B31" s="35"/>
      <c r="C31" s="35"/>
      <c r="D31" s="38"/>
      <c r="E31" s="35"/>
      <c r="F31" s="35"/>
      <c r="G31" s="38"/>
      <c r="H31" s="35"/>
      <c r="I31" s="35"/>
    </row>
  </sheetData>
  <dataValidations count="2">
    <dataValidation type="list" allowBlank="1" showInputMessage="1" showErrorMessage="1" sqref="D3:D31">
      <formula1>"Faible,Moyenne,Haute,Bloquante"</formula1>
    </dataValidation>
    <dataValidation type="list" allowBlank="1" showInputMessage="1" showErrorMessage="1" sqref="G3:G31">
      <formula1>"Ouvert,En cours,Corrigé,Retesté OK"</formula1>
    </dataValidation>
  </dataValidations>
  <hyperlinks>
    <hyperlink ref="F3" r:id="rId1" location="" tooltip="" display="https://github.com/Rayanxdn/Skull_Game_M1S1/issues/14"/>
    <hyperlink ref="F4" r:id="rId2" location="" tooltip="" display="https://github.com/Rayanxdn/Skull_Game_M1S1/issues/15"/>
    <hyperlink ref="F5" r:id="rId3" location="" tooltip="" display="https://github.com/Rayanxdn/Skull_Game_M1S1/issues/16"/>
    <hyperlink ref="F6" r:id="rId4" location="" tooltip="" display="https://github.com/Rayanxdn/Skull_Game_M1S1/issues/18"/>
  </hyperlink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